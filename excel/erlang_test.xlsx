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ErlangC" sheetId="2" state="visible" r:id="rId2"/>
    <sheet xmlns:r="http://schemas.openxmlformats.org/officeDocument/2006/relationships" name="Tra_c" sheetId="3" state="visible" r:id="rId3"/>
    <sheet xmlns:r="http://schemas.openxmlformats.org/officeDocument/2006/relationships" name="Allen_Cunneen" sheetId="4" state="visible" r:id="rId4"/>
    <sheet xmlns:r="http://schemas.openxmlformats.org/officeDocument/2006/relationships" name="Quyet_di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0.0%"/>
    <numFmt numFmtId="167" formatCode="0.00 &quot;phút&quot;"/>
    <numFmt numFmtId="168" formatCode="+0.0%"/>
  </numFmts>
  <fonts count="9">
    <font>
      <name val="Calibri"/>
      <family val="2"/>
      <color theme="1"/>
      <sz val="11"/>
      <scheme val="minor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6100"/>
      <sz val="11"/>
    </font>
    <font>
      <name val="Segoe UI"/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2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166" fontId="4" fillId="3" borderId="1" applyAlignment="1" pivotButton="0" quotePrefix="0" xfId="0">
      <alignment horizontal="center"/>
    </xf>
    <xf numFmtId="0" fontId="3" fillId="0" borderId="0" pivotButton="0" quotePrefix="0" xfId="0"/>
    <xf numFmtId="0" fontId="5" fillId="4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5" customWidth="1" min="3" max="3"/>
    <col width="49" customWidth="1" min="4" max="4"/>
  </cols>
  <sheetData>
    <row r="1">
      <c r="A1" s="1" t="inlineStr">
        <is>
          <t>BẢNG THAM SỐ ĐẦU VÀO M/M/c (Erlang C)</t>
        </is>
      </c>
    </row>
    <row r="3">
      <c r="A3" s="2" t="inlineStr">
        <is>
          <t>Tham số</t>
        </is>
      </c>
      <c r="B3" s="2" t="inlineStr">
        <is>
          <t>Giá trị</t>
        </is>
      </c>
      <c r="C3" s="2" t="inlineStr">
        <is>
          <t>Đơn vị</t>
        </is>
      </c>
      <c r="D3" s="2" t="inlineStr">
        <is>
          <t>Ý nghĩa</t>
        </is>
      </c>
    </row>
    <row r="4">
      <c r="A4" s="3" t="inlineStr">
        <is>
          <t>Tốc độ đến (λ)</t>
        </is>
      </c>
      <c r="B4" s="4" t="n">
        <v>1.5</v>
      </c>
      <c r="C4" s="5" t="inlineStr">
        <is>
          <t>khách/phút</t>
        </is>
      </c>
      <c r="D4" s="6" t="inlineStr">
        <is>
          <t>Số khách trung bình đến hệ thống trong 1 phút</t>
        </is>
      </c>
    </row>
    <row r="5">
      <c r="A5" s="3" t="inlineStr">
        <is>
          <t>Thời gian phục vụ TB (E[S])</t>
        </is>
      </c>
      <c r="B5" s="4" t="n">
        <v>3</v>
      </c>
      <c r="C5" s="5" t="inlineStr">
        <is>
          <t>phút</t>
        </is>
      </c>
      <c r="D5" s="6" t="inlineStr">
        <is>
          <t>Thời gian xử lý trung bình của 1 quầy</t>
        </is>
      </c>
    </row>
    <row r="6">
      <c r="A6" s="3" t="inlineStr">
        <is>
          <t>Tốc độ phục vụ mỗi quầy (μ)</t>
        </is>
      </c>
      <c r="B6" s="7">
        <f>1/B5</f>
        <v/>
      </c>
      <c r="C6" s="5" t="inlineStr">
        <is>
          <t>khách/phút</t>
        </is>
      </c>
      <c r="D6" s="6" t="inlineStr">
        <is>
          <t>Năng suất phục vụ của 1 quầy (μ = 1/E[S])</t>
        </is>
      </c>
    </row>
    <row r="7">
      <c r="A7" s="3" t="inlineStr">
        <is>
          <t>Cường độ tải giao thông (a)</t>
        </is>
      </c>
      <c r="B7" s="4">
        <f>B4*B5</f>
        <v/>
      </c>
      <c r="C7" s="5" t="inlineStr">
        <is>
          <t>Erlang</t>
        </is>
      </c>
      <c r="D7" s="6" t="inlineStr">
        <is>
          <t>Tải lượng công việc (a = λ / μ = λ * E[S])</t>
        </is>
      </c>
    </row>
    <row r="8">
      <c r="A8" s="3" t="inlineStr">
        <is>
          <t>Ngưỡng thời gian chờ cam kết (t)</t>
        </is>
      </c>
      <c r="B8" s="8" t="n">
        <v>5</v>
      </c>
      <c r="C8" s="5" t="inlineStr">
        <is>
          <t>phút</t>
        </is>
      </c>
      <c r="D8" s="6" t="inlineStr">
        <is>
          <t>Ngưỡng thời gian chờ mục tiêu của SLA</t>
        </is>
      </c>
    </row>
    <row r="9">
      <c r="A9" s="3" t="inlineStr">
        <is>
          <t>Mục tiêu cam kết dịch vụ (SLA)</t>
        </is>
      </c>
      <c r="B9" s="9" t="n">
        <v>0.9</v>
      </c>
      <c r="C9" s="5" t="inlineStr">
        <is>
          <t>tỉ lệ (90%)</t>
        </is>
      </c>
      <c r="D9" s="6" t="inlineStr">
        <is>
          <t>Tối thiểu 90% khách chờ &lt;= t phút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45" customWidth="1" min="2" max="2"/>
    <col width="132" customWidth="1" min="3" max="3"/>
    <col width="36" customWidth="1" min="4" max="4"/>
    <col width="19" customWidth="1" min="5" max="5"/>
    <col width="55" customWidth="1" min="6" max="6"/>
    <col width="38" customWidth="1" min="7" max="7"/>
  </cols>
  <sheetData>
    <row r="1">
      <c r="A1" s="1" t="inlineStr">
        <is>
          <t>TÍNH TOÁN CÔNG THỨC ERLANG C VÀ XÁC ĐỊNH SỐ QUẦY TỐI THIỂU</t>
        </is>
      </c>
    </row>
    <row r="3">
      <c r="A3" s="10" t="inlineStr">
        <is>
          <t>KẾT QUẢ TỐI ƯU:</t>
        </is>
      </c>
    </row>
    <row r="4">
      <c r="A4" s="10" t="inlineStr">
        <is>
          <t>Số quầy nhỏ nhất đạt SLA:</t>
        </is>
      </c>
      <c r="B4" s="11">
        <f>INDEX(A10:A24, MATCH("ĐẠT", G10:G24, 0))</f>
        <v/>
      </c>
    </row>
    <row r="5">
      <c r="A5" s="10" t="inlineStr">
        <is>
          <t>Hiệu suất sử dụng tương ứng (ρ):</t>
        </is>
      </c>
      <c r="B5" s="12">
        <f>VLOOKUP(B4, A10:G24, 2, FALSE)</f>
        <v/>
      </c>
    </row>
    <row r="6">
      <c r="A6" s="10" t="inlineStr">
        <is>
          <t>Thời gian chờ trung bình (Wq):</t>
        </is>
      </c>
      <c r="B6" s="13">
        <f>VLOOKUP(B4, A10:G24, 4, FALSE)</f>
        <v/>
      </c>
    </row>
    <row r="7">
      <c r="A7" s="10" t="inlineStr">
        <is>
          <t>Tỉ lệ đạt SLA (P(Wq &lt;= 5 phút)):</t>
        </is>
      </c>
      <c r="B7" s="14">
        <f>VLOOKUP(B4, A10:G24, 6, FALSE)</f>
        <v/>
      </c>
    </row>
    <row r="9">
      <c r="A9" s="15" t="inlineStr">
        <is>
          <t>Số quầy (c)</t>
        </is>
      </c>
      <c r="B9" s="15" t="inlineStr">
        <is>
          <t>Hiệu suất (ρ)</t>
        </is>
      </c>
      <c r="C9" s="15" t="inlineStr">
        <is>
          <t>Xác suất chờ C(c, a)</t>
        </is>
      </c>
      <c r="D9" s="15" t="inlineStr">
        <is>
          <t>TG chờ TB Wq (phút)</t>
        </is>
      </c>
      <c r="E9" s="15" t="inlineStr">
        <is>
          <t>Độ dài hàng Lq</t>
        </is>
      </c>
      <c r="F9" s="15" t="inlineStr">
        <is>
          <t>P(Wq &lt;= 5 phút)</t>
        </is>
      </c>
      <c r="G9" s="15" t="inlineStr">
        <is>
          <t>Đạt SLA?</t>
        </is>
      </c>
    </row>
    <row r="10">
      <c r="A10" s="16">
        <f>INT(Input!$B$7)+1</f>
        <v/>
      </c>
      <c r="B10" s="17">
        <f>Input!$B$7/A10</f>
        <v/>
      </c>
      <c r="C10" s="18">
        <f>(POISSON(A10,Input!$B$7,FALSE)/(1-B10))/((POISSON(A10,Input!$B$7,FALSE)/(1-B10))+POISSON(A10-1,Input!$B$7,TRUE))</f>
        <v/>
      </c>
      <c r="D10" s="19">
        <f>C10/(A10*Input!$B$6-Input!$B$4)</f>
        <v/>
      </c>
      <c r="E10" s="19">
        <f>Input!$B$4*D10</f>
        <v/>
      </c>
      <c r="F10" s="17">
        <f>1-C10*EXP(-(A10*Input!$B$6-Input!$B$4)*Input!$B$8)</f>
        <v/>
      </c>
      <c r="G10" s="16">
        <f>IF(F10&gt;=Input!$B$9,"ĐẠT","KHÔNG")</f>
        <v/>
      </c>
    </row>
    <row r="11">
      <c r="A11" s="16">
        <f>A10+1</f>
        <v/>
      </c>
      <c r="B11" s="17">
        <f>Input!$B$7/A11</f>
        <v/>
      </c>
      <c r="C11" s="18">
        <f>(POISSON(A11,Input!$B$7,FALSE)/(1-B11))/((POISSON(A11,Input!$B$7,FALSE)/(1-B11))+POISSON(A11-1,Input!$B$7,TRUE))</f>
        <v/>
      </c>
      <c r="D11" s="19">
        <f>C11/(A11*Input!$B$6-Input!$B$4)</f>
        <v/>
      </c>
      <c r="E11" s="19">
        <f>Input!$B$4*D11</f>
        <v/>
      </c>
      <c r="F11" s="17">
        <f>1-C11*EXP(-(A11*Input!$B$6-Input!$B$4)*Input!$B$8)</f>
        <v/>
      </c>
      <c r="G11" s="16">
        <f>IF(F11&gt;=Input!$B$9,"ĐẠT","KHÔNG")</f>
        <v/>
      </c>
    </row>
    <row r="12">
      <c r="A12" s="16">
        <f>A11+1</f>
        <v/>
      </c>
      <c r="B12" s="17">
        <f>Input!$B$7/A12</f>
        <v/>
      </c>
      <c r="C12" s="18">
        <f>(POISSON(A12,Input!$B$7,FALSE)/(1-B12))/((POISSON(A12,Input!$B$7,FALSE)/(1-B12))+POISSON(A12-1,Input!$B$7,TRUE))</f>
        <v/>
      </c>
      <c r="D12" s="19">
        <f>C12/(A12*Input!$B$6-Input!$B$4)</f>
        <v/>
      </c>
      <c r="E12" s="19">
        <f>Input!$B$4*D12</f>
        <v/>
      </c>
      <c r="F12" s="17">
        <f>1-C12*EXP(-(A12*Input!$B$6-Input!$B$4)*Input!$B$8)</f>
        <v/>
      </c>
      <c r="G12" s="16">
        <f>IF(F12&gt;=Input!$B$9,"ĐẠT","KHÔNG")</f>
        <v/>
      </c>
    </row>
    <row r="13">
      <c r="A13" s="16">
        <f>A12+1</f>
        <v/>
      </c>
      <c r="B13" s="17">
        <f>Input!$B$7/A13</f>
        <v/>
      </c>
      <c r="C13" s="18">
        <f>(POISSON(A13,Input!$B$7,FALSE)/(1-B13))/((POISSON(A13,Input!$B$7,FALSE)/(1-B13))+POISSON(A13-1,Input!$B$7,TRUE))</f>
        <v/>
      </c>
      <c r="D13" s="19">
        <f>C13/(A13*Input!$B$6-Input!$B$4)</f>
        <v/>
      </c>
      <c r="E13" s="19">
        <f>Input!$B$4*D13</f>
        <v/>
      </c>
      <c r="F13" s="17">
        <f>1-C13*EXP(-(A13*Input!$B$6-Input!$B$4)*Input!$B$8)</f>
        <v/>
      </c>
      <c r="G13" s="16">
        <f>IF(F13&gt;=Input!$B$9,"ĐẠT","KHÔNG")</f>
        <v/>
      </c>
    </row>
    <row r="14">
      <c r="A14" s="16">
        <f>A13+1</f>
        <v/>
      </c>
      <c r="B14" s="17">
        <f>Input!$B$7/A14</f>
        <v/>
      </c>
      <c r="C14" s="18">
        <f>(POISSON(A14,Input!$B$7,FALSE)/(1-B14))/((POISSON(A14,Input!$B$7,FALSE)/(1-B14))+POISSON(A14-1,Input!$B$7,TRUE))</f>
        <v/>
      </c>
      <c r="D14" s="19">
        <f>C14/(A14*Input!$B$6-Input!$B$4)</f>
        <v/>
      </c>
      <c r="E14" s="19">
        <f>Input!$B$4*D14</f>
        <v/>
      </c>
      <c r="F14" s="17">
        <f>1-C14*EXP(-(A14*Input!$B$6-Input!$B$4)*Input!$B$8)</f>
        <v/>
      </c>
      <c r="G14" s="16">
        <f>IF(F14&gt;=Input!$B$9,"ĐẠT","KHÔNG")</f>
        <v/>
      </c>
    </row>
    <row r="15">
      <c r="A15" s="16">
        <f>A14+1</f>
        <v/>
      </c>
      <c r="B15" s="17">
        <f>Input!$B$7/A15</f>
        <v/>
      </c>
      <c r="C15" s="18">
        <f>(POISSON(A15,Input!$B$7,FALSE)/(1-B15))/((POISSON(A15,Input!$B$7,FALSE)/(1-B15))+POISSON(A15-1,Input!$B$7,TRUE))</f>
        <v/>
      </c>
      <c r="D15" s="19">
        <f>C15/(A15*Input!$B$6-Input!$B$4)</f>
        <v/>
      </c>
      <c r="E15" s="19">
        <f>Input!$B$4*D15</f>
        <v/>
      </c>
      <c r="F15" s="17">
        <f>1-C15*EXP(-(A15*Input!$B$6-Input!$B$4)*Input!$B$8)</f>
        <v/>
      </c>
      <c r="G15" s="16">
        <f>IF(F15&gt;=Input!$B$9,"ĐẠT","KHÔNG")</f>
        <v/>
      </c>
    </row>
    <row r="16">
      <c r="A16" s="16">
        <f>A15+1</f>
        <v/>
      </c>
      <c r="B16" s="17">
        <f>Input!$B$7/A16</f>
        <v/>
      </c>
      <c r="C16" s="18">
        <f>(POISSON(A16,Input!$B$7,FALSE)/(1-B16))/((POISSON(A16,Input!$B$7,FALSE)/(1-B16))+POISSON(A16-1,Input!$B$7,TRUE))</f>
        <v/>
      </c>
      <c r="D16" s="19">
        <f>C16/(A16*Input!$B$6-Input!$B$4)</f>
        <v/>
      </c>
      <c r="E16" s="19">
        <f>Input!$B$4*D16</f>
        <v/>
      </c>
      <c r="F16" s="17">
        <f>1-C16*EXP(-(A16*Input!$B$6-Input!$B$4)*Input!$B$8)</f>
        <v/>
      </c>
      <c r="G16" s="16">
        <f>IF(F16&gt;=Input!$B$9,"ĐẠT","KHÔNG")</f>
        <v/>
      </c>
    </row>
    <row r="17">
      <c r="A17" s="16">
        <f>A16+1</f>
        <v/>
      </c>
      <c r="B17" s="17">
        <f>Input!$B$7/A17</f>
        <v/>
      </c>
      <c r="C17" s="18">
        <f>(POISSON(A17,Input!$B$7,FALSE)/(1-B17))/((POISSON(A17,Input!$B$7,FALSE)/(1-B17))+POISSON(A17-1,Input!$B$7,TRUE))</f>
        <v/>
      </c>
      <c r="D17" s="19">
        <f>C17/(A17*Input!$B$6-Input!$B$4)</f>
        <v/>
      </c>
      <c r="E17" s="19">
        <f>Input!$B$4*D17</f>
        <v/>
      </c>
      <c r="F17" s="17">
        <f>1-C17*EXP(-(A17*Input!$B$6-Input!$B$4)*Input!$B$8)</f>
        <v/>
      </c>
      <c r="G17" s="16">
        <f>IF(F17&gt;=Input!$B$9,"ĐẠT","KHÔNG")</f>
        <v/>
      </c>
    </row>
    <row r="18">
      <c r="A18" s="16">
        <f>A17+1</f>
        <v/>
      </c>
      <c r="B18" s="17">
        <f>Input!$B$7/A18</f>
        <v/>
      </c>
      <c r="C18" s="18">
        <f>(POISSON(A18,Input!$B$7,FALSE)/(1-B18))/((POISSON(A18,Input!$B$7,FALSE)/(1-B18))+POISSON(A18-1,Input!$B$7,TRUE))</f>
        <v/>
      </c>
      <c r="D18" s="19">
        <f>C18/(A18*Input!$B$6-Input!$B$4)</f>
        <v/>
      </c>
      <c r="E18" s="19">
        <f>Input!$B$4*D18</f>
        <v/>
      </c>
      <c r="F18" s="17">
        <f>1-C18*EXP(-(A18*Input!$B$6-Input!$B$4)*Input!$B$8)</f>
        <v/>
      </c>
      <c r="G18" s="16">
        <f>IF(F18&gt;=Input!$B$9,"ĐẠT","KHÔNG")</f>
        <v/>
      </c>
    </row>
    <row r="19">
      <c r="A19" s="16">
        <f>A18+1</f>
        <v/>
      </c>
      <c r="B19" s="17">
        <f>Input!$B$7/A19</f>
        <v/>
      </c>
      <c r="C19" s="18">
        <f>(POISSON(A19,Input!$B$7,FALSE)/(1-B19))/((POISSON(A19,Input!$B$7,FALSE)/(1-B19))+POISSON(A19-1,Input!$B$7,TRUE))</f>
        <v/>
      </c>
      <c r="D19" s="19">
        <f>C19/(A19*Input!$B$6-Input!$B$4)</f>
        <v/>
      </c>
      <c r="E19" s="19">
        <f>Input!$B$4*D19</f>
        <v/>
      </c>
      <c r="F19" s="17">
        <f>1-C19*EXP(-(A19*Input!$B$6-Input!$B$4)*Input!$B$8)</f>
        <v/>
      </c>
      <c r="G19" s="16">
        <f>IF(F19&gt;=Input!$B$9,"ĐẠT","KHÔNG")</f>
        <v/>
      </c>
    </row>
    <row r="20">
      <c r="A20" s="16">
        <f>A19+1</f>
        <v/>
      </c>
      <c r="B20" s="17">
        <f>Input!$B$7/A20</f>
        <v/>
      </c>
      <c r="C20" s="18">
        <f>(POISSON(A20,Input!$B$7,FALSE)/(1-B20))/((POISSON(A20,Input!$B$7,FALSE)/(1-B20))+POISSON(A20-1,Input!$B$7,TRUE))</f>
        <v/>
      </c>
      <c r="D20" s="19">
        <f>C20/(A20*Input!$B$6-Input!$B$4)</f>
        <v/>
      </c>
      <c r="E20" s="19">
        <f>Input!$B$4*D20</f>
        <v/>
      </c>
      <c r="F20" s="17">
        <f>1-C20*EXP(-(A20*Input!$B$6-Input!$B$4)*Input!$B$8)</f>
        <v/>
      </c>
      <c r="G20" s="16">
        <f>IF(F20&gt;=Input!$B$9,"ĐẠT","KHÔNG")</f>
        <v/>
      </c>
    </row>
    <row r="21">
      <c r="A21" s="16">
        <f>A20+1</f>
        <v/>
      </c>
      <c r="B21" s="17">
        <f>Input!$B$7/A21</f>
        <v/>
      </c>
      <c r="C21" s="18">
        <f>(POISSON(A21,Input!$B$7,FALSE)/(1-B21))/((POISSON(A21,Input!$B$7,FALSE)/(1-B21))+POISSON(A21-1,Input!$B$7,TRUE))</f>
        <v/>
      </c>
      <c r="D21" s="19">
        <f>C21/(A21*Input!$B$6-Input!$B$4)</f>
        <v/>
      </c>
      <c r="E21" s="19">
        <f>Input!$B$4*D21</f>
        <v/>
      </c>
      <c r="F21" s="17">
        <f>1-C21*EXP(-(A21*Input!$B$6-Input!$B$4)*Input!$B$8)</f>
        <v/>
      </c>
      <c r="G21" s="16">
        <f>IF(F21&gt;=Input!$B$9,"ĐẠT","KHÔNG")</f>
        <v/>
      </c>
    </row>
    <row r="22">
      <c r="A22" s="16">
        <f>A21+1</f>
        <v/>
      </c>
      <c r="B22" s="17">
        <f>Input!$B$7/A22</f>
        <v/>
      </c>
      <c r="C22" s="18">
        <f>(POISSON(A22,Input!$B$7,FALSE)/(1-B22))/((POISSON(A22,Input!$B$7,FALSE)/(1-B22))+POISSON(A22-1,Input!$B$7,TRUE))</f>
        <v/>
      </c>
      <c r="D22" s="19">
        <f>C22/(A22*Input!$B$6-Input!$B$4)</f>
        <v/>
      </c>
      <c r="E22" s="19">
        <f>Input!$B$4*D22</f>
        <v/>
      </c>
      <c r="F22" s="17">
        <f>1-C22*EXP(-(A22*Input!$B$6-Input!$B$4)*Input!$B$8)</f>
        <v/>
      </c>
      <c r="G22" s="16">
        <f>IF(F22&gt;=Input!$B$9,"ĐẠT","KHÔNG")</f>
        <v/>
      </c>
    </row>
    <row r="23">
      <c r="A23" s="16">
        <f>A22+1</f>
        <v/>
      </c>
      <c r="B23" s="17">
        <f>Input!$B$7/A23</f>
        <v/>
      </c>
      <c r="C23" s="18">
        <f>(POISSON(A23,Input!$B$7,FALSE)/(1-B23))/((POISSON(A23,Input!$B$7,FALSE)/(1-B23))+POISSON(A23-1,Input!$B$7,TRUE))</f>
        <v/>
      </c>
      <c r="D23" s="19">
        <f>C23/(A23*Input!$B$6-Input!$B$4)</f>
        <v/>
      </c>
      <c r="E23" s="19">
        <f>Input!$B$4*D23</f>
        <v/>
      </c>
      <c r="F23" s="17">
        <f>1-C23*EXP(-(A23*Input!$B$6-Input!$B$4)*Input!$B$8)</f>
        <v/>
      </c>
      <c r="G23" s="16">
        <f>IF(F23&gt;=Input!$B$9,"ĐẠT","KHÔNG")</f>
        <v/>
      </c>
    </row>
    <row r="24">
      <c r="A24" s="16">
        <f>A23+1</f>
        <v/>
      </c>
      <c r="B24" s="17">
        <f>Input!$B$7/A24</f>
        <v/>
      </c>
      <c r="C24" s="18">
        <f>(POISSON(A24,Input!$B$7,FALSE)/(1-B24))/((POISSON(A24,Input!$B$7,FALSE)/(1-B24))+POISSON(A24-1,Input!$B$7,TRUE))</f>
        <v/>
      </c>
      <c r="D24" s="19">
        <f>C24/(A24*Input!$B$6-Input!$B$4)</f>
        <v/>
      </c>
      <c r="E24" s="19">
        <f>Input!$B$4*D24</f>
        <v/>
      </c>
      <c r="F24" s="17">
        <f>1-C24*EXP(-(A24*Input!$B$6-Input!$B$4)*Input!$B$8)</f>
        <v/>
      </c>
      <c r="G24" s="16">
        <f>IF(F24&gt;=Input!$B$9,"ĐẠT","KHÔNG")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BẢNG TRA SỐ QUẦY TỐI THIỂU ĐẠT SLA 90% (t &lt;= 5 phút)</t>
        </is>
      </c>
    </row>
    <row r="3">
      <c r="A3" s="2" t="inlineStr">
        <is>
          <t>λ (khách/phút)</t>
        </is>
      </c>
      <c r="B3" s="20" t="inlineStr">
        <is>
          <t>E[S] = 2.0 phút (μ = 0.50)</t>
        </is>
      </c>
      <c r="C3" s="20" t="inlineStr">
        <is>
          <t>E[S] = 3.0 phút (μ = 0.33)</t>
        </is>
      </c>
      <c r="D3" s="20" t="inlineStr">
        <is>
          <t>E[S] = 4.0 phút (μ = 0.25)</t>
        </is>
      </c>
      <c r="E3" s="20" t="inlineStr">
        <is>
          <t>E[S] = 5.0 phút (μ = 0.20)</t>
        </is>
      </c>
    </row>
    <row r="4">
      <c r="A4" s="21" t="n">
        <v>0.5</v>
      </c>
      <c r="B4" s="5" t="n">
        <v>2</v>
      </c>
      <c r="C4" s="5" t="n">
        <v>3</v>
      </c>
      <c r="D4" s="5" t="n">
        <v>4</v>
      </c>
      <c r="E4" s="5" t="n">
        <v>4</v>
      </c>
    </row>
    <row r="5">
      <c r="A5" s="21" t="n">
        <v>0.75</v>
      </c>
      <c r="B5" s="5" t="n">
        <v>3</v>
      </c>
      <c r="C5" s="5" t="n">
        <v>4</v>
      </c>
      <c r="D5" s="5" t="n">
        <v>5</v>
      </c>
      <c r="E5" s="5" t="n">
        <v>6</v>
      </c>
    </row>
    <row r="6">
      <c r="A6" s="21" t="n">
        <v>1</v>
      </c>
      <c r="B6" s="5" t="n">
        <v>3</v>
      </c>
      <c r="C6" s="5" t="n">
        <v>4</v>
      </c>
      <c r="D6" s="5" t="n">
        <v>6</v>
      </c>
      <c r="E6" s="5" t="n">
        <v>7</v>
      </c>
    </row>
    <row r="7">
      <c r="A7" s="21" t="n">
        <v>1.25</v>
      </c>
      <c r="B7" s="5" t="n">
        <v>4</v>
      </c>
      <c r="C7" s="5" t="n">
        <v>5</v>
      </c>
      <c r="D7" s="5" t="n">
        <v>7</v>
      </c>
      <c r="E7" s="5" t="n">
        <v>8</v>
      </c>
    </row>
    <row r="8">
      <c r="A8" s="21" t="n">
        <v>1.5</v>
      </c>
      <c r="B8" s="5" t="n">
        <v>4</v>
      </c>
      <c r="C8" s="22" t="n">
        <v>6</v>
      </c>
      <c r="D8" s="5" t="n">
        <v>8</v>
      </c>
      <c r="E8" s="5" t="n">
        <v>10</v>
      </c>
    </row>
    <row r="9">
      <c r="A9" s="21" t="n">
        <v>1.75</v>
      </c>
      <c r="B9" s="5" t="n">
        <v>5</v>
      </c>
      <c r="C9" s="5" t="n">
        <v>7</v>
      </c>
      <c r="D9" s="5" t="n">
        <v>9</v>
      </c>
      <c r="E9" s="5" t="n">
        <v>11</v>
      </c>
    </row>
    <row r="10">
      <c r="A10" s="21" t="n">
        <v>2</v>
      </c>
      <c r="B10" s="5" t="n">
        <v>5</v>
      </c>
      <c r="C10" s="5" t="n">
        <v>8</v>
      </c>
      <c r="D10" s="5" t="n">
        <v>10</v>
      </c>
      <c r="E10" s="5" t="n">
        <v>12</v>
      </c>
    </row>
    <row r="11">
      <c r="A11" s="21" t="n">
        <v>2.25</v>
      </c>
      <c r="B11" s="5" t="n">
        <v>6</v>
      </c>
      <c r="C11" s="5" t="n">
        <v>8</v>
      </c>
      <c r="D11" s="5" t="n">
        <v>11</v>
      </c>
      <c r="E11" s="5" t="n">
        <v>13</v>
      </c>
    </row>
    <row r="12">
      <c r="A12" s="21" t="n">
        <v>2.5</v>
      </c>
      <c r="B12" s="5" t="n">
        <v>6</v>
      </c>
      <c r="C12" s="5" t="n">
        <v>9</v>
      </c>
      <c r="D12" s="5" t="n">
        <v>12</v>
      </c>
      <c r="E12" s="5" t="n">
        <v>15</v>
      </c>
    </row>
    <row r="13">
      <c r="A13" s="21" t="n">
        <v>2.75</v>
      </c>
      <c r="B13" s="5" t="n">
        <v>7</v>
      </c>
      <c r="C13" s="5" t="n">
        <v>10</v>
      </c>
      <c r="D13" s="5" t="n">
        <v>13</v>
      </c>
      <c r="E13" s="5" t="n">
        <v>16</v>
      </c>
    </row>
    <row r="14">
      <c r="A14" s="21" t="n">
        <v>3</v>
      </c>
      <c r="B14" s="5" t="n">
        <v>7</v>
      </c>
      <c r="C14" s="5" t="n">
        <v>11</v>
      </c>
      <c r="D14" s="5" t="n">
        <v>14</v>
      </c>
      <c r="E14" s="5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6" customWidth="1" min="4" max="4"/>
    <col width="22" customWidth="1" min="5" max="5"/>
    <col width="31" customWidth="1" min="6" max="6"/>
  </cols>
  <sheetData>
    <row r="1">
      <c r="A1" s="1" t="inlineStr">
        <is>
          <t>XẤP XỈ ALLEN - CUNNEEN CHO HÀNG ĐỢI M/G/c</t>
        </is>
      </c>
    </row>
    <row r="2">
      <c r="A2" s="10" t="inlineStr">
        <is>
          <t>Công thức: Wq(M/G/c) ≈ (1 + cs²) / 2 * Wq(M/M/c)</t>
        </is>
      </c>
    </row>
    <row r="4">
      <c r="A4" s="15" t="inlineStr">
        <is>
          <t>Số quầy c</t>
        </is>
      </c>
      <c r="B4" s="15" t="inlineStr">
        <is>
          <t>Wq M/M/c (cs²=1.0)</t>
        </is>
      </c>
      <c r="C4" s="15" t="inlineStr">
        <is>
          <t>Wq (cs²=0.5)</t>
        </is>
      </c>
      <c r="D4" s="15" t="inlineStr">
        <is>
          <t>Wq (cs²=1.2 - Thực tế)</t>
        </is>
      </c>
      <c r="E4" s="15" t="inlineStr">
        <is>
          <t>Wq (cs²=1.5)</t>
        </is>
      </c>
      <c r="F4" s="15" t="inlineStr">
        <is>
          <t>Tăng thời gian chờ do cs²&gt;1</t>
        </is>
      </c>
    </row>
    <row r="5">
      <c r="A5" s="16" t="n">
        <v>5</v>
      </c>
      <c r="B5" s="19">
        <f>ErlangC!D10</f>
        <v/>
      </c>
      <c r="C5" s="19">
        <f>(1 + 0.5)/2 * B5</f>
        <v/>
      </c>
      <c r="D5" s="19">
        <f>(1 + 1.20)/2 * B5</f>
        <v/>
      </c>
      <c r="E5" s="19">
        <f>(1 + 1.5)/2 * B5</f>
        <v/>
      </c>
      <c r="F5" s="23">
        <f>(D5 - B5)/B5</f>
        <v/>
      </c>
    </row>
    <row r="6">
      <c r="A6" s="16" t="n">
        <v>6</v>
      </c>
      <c r="B6" s="19">
        <f>ErlangC!D11</f>
        <v/>
      </c>
      <c r="C6" s="19">
        <f>(1 + 0.5)/2 * B6</f>
        <v/>
      </c>
      <c r="D6" s="19">
        <f>(1 + 1.20)/2 * B6</f>
        <v/>
      </c>
      <c r="E6" s="19">
        <f>(1 + 1.5)/2 * B6</f>
        <v/>
      </c>
      <c r="F6" s="23">
        <f>(D6 - B6)/B6</f>
        <v/>
      </c>
    </row>
    <row r="7">
      <c r="A7" s="16" t="n">
        <v>7</v>
      </c>
      <c r="B7" s="19">
        <f>ErlangC!D12</f>
        <v/>
      </c>
      <c r="C7" s="19">
        <f>(1 + 0.5)/2 * B7</f>
        <v/>
      </c>
      <c r="D7" s="19">
        <f>(1 + 1.20)/2 * B7</f>
        <v/>
      </c>
      <c r="E7" s="19">
        <f>(1 + 1.5)/2 * B7</f>
        <v/>
      </c>
      <c r="F7" s="23">
        <f>(D7 - B7)/B7</f>
        <v/>
      </c>
    </row>
    <row r="8">
      <c r="A8" s="16" t="n">
        <v>8</v>
      </c>
      <c r="B8" s="19">
        <f>ErlangC!D13</f>
        <v/>
      </c>
      <c r="C8" s="19">
        <f>(1 + 0.5)/2 * B8</f>
        <v/>
      </c>
      <c r="D8" s="19">
        <f>(1 + 1.20)/2 * B8</f>
        <v/>
      </c>
      <c r="E8" s="19">
        <f>(1 + 1.5)/2 * B8</f>
        <v/>
      </c>
      <c r="F8" s="23">
        <f>(D8 - B8)/B8</f>
        <v/>
      </c>
    </row>
    <row r="9">
      <c r="A9" s="16" t="n">
        <v>9</v>
      </c>
      <c r="B9" s="19">
        <f>ErlangC!D14</f>
        <v/>
      </c>
      <c r="C9" s="19">
        <f>(1 + 0.5)/2 * B9</f>
        <v/>
      </c>
      <c r="D9" s="19">
        <f>(1 + 1.20)/2 * B9</f>
        <v/>
      </c>
      <c r="E9" s="19">
        <f>(1 + 1.5)/2 * B9</f>
        <v/>
      </c>
      <c r="F9" s="23">
        <f>(D9 - B9)/B9</f>
        <v/>
      </c>
    </row>
    <row r="10">
      <c r="A10" s="16" t="n">
        <v>10</v>
      </c>
      <c r="B10" s="19">
        <f>ErlangC!D15</f>
        <v/>
      </c>
      <c r="C10" s="19">
        <f>(1 + 0.5)/2 * B10</f>
        <v/>
      </c>
      <c r="D10" s="19">
        <f>(1 + 1.20)/2 * B10</f>
        <v/>
      </c>
      <c r="E10" s="19">
        <f>(1 + 1.5)/2 * B10</f>
        <v/>
      </c>
      <c r="F10" s="23">
        <f>(D10 - B10)/B10</f>
        <v/>
      </c>
    </row>
    <row r="11">
      <c r="A11" s="16" t="n">
        <v>11</v>
      </c>
      <c r="B11" s="19">
        <f>ErlangC!D16</f>
        <v/>
      </c>
      <c r="C11" s="19">
        <f>(1 + 0.5)/2 * B11</f>
        <v/>
      </c>
      <c r="D11" s="19">
        <f>(1 + 1.20)/2 * B11</f>
        <v/>
      </c>
      <c r="E11" s="19">
        <f>(1 + 1.5)/2 * B11</f>
        <v/>
      </c>
      <c r="F11" s="23">
        <f>(D11 - B11)/B11</f>
        <v/>
      </c>
    </row>
    <row r="12">
      <c r="A12" s="16" t="n">
        <v>12</v>
      </c>
      <c r="B12" s="19">
        <f>ErlangC!D17</f>
        <v/>
      </c>
      <c r="C12" s="19">
        <f>(1 + 0.5)/2 * B12</f>
        <v/>
      </c>
      <c r="D12" s="19">
        <f>(1 + 1.20)/2 * B12</f>
        <v/>
      </c>
      <c r="E12" s="19">
        <f>(1 + 1.5)/2 * B12</f>
        <v/>
      </c>
      <c r="F12" s="23">
        <f>(D12 - B12)/B12</f>
        <v/>
      </c>
    </row>
    <row r="13">
      <c r="A13" s="16" t="n">
        <v>13</v>
      </c>
      <c r="B13" s="19">
        <f>ErlangC!D18</f>
        <v/>
      </c>
      <c r="C13" s="19">
        <f>(1 + 0.5)/2 * B13</f>
        <v/>
      </c>
      <c r="D13" s="19">
        <f>(1 + 1.20)/2 * B13</f>
        <v/>
      </c>
      <c r="E13" s="19">
        <f>(1 + 1.5)/2 * B13</f>
        <v/>
      </c>
      <c r="F13" s="23">
        <f>(D13 - B13)/B13</f>
        <v/>
      </c>
    </row>
    <row r="14">
      <c r="A14" s="16" t="n">
        <v>14</v>
      </c>
      <c r="B14" s="19">
        <f>ErlangC!D19</f>
        <v/>
      </c>
      <c r="C14" s="19">
        <f>(1 + 0.5)/2 * B14</f>
        <v/>
      </c>
      <c r="D14" s="19">
        <f>(1 + 1.20)/2 * B14</f>
        <v/>
      </c>
      <c r="E14" s="19">
        <f>(1 + 1.5)/2 * B14</f>
        <v/>
      </c>
      <c r="F14" s="23">
        <f>(D14 - B14)/B14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8" customWidth="1" min="2" max="2"/>
    <col width="15" customWidth="1" min="3" max="3"/>
    <col width="12" customWidth="1" min="4" max="4"/>
    <col width="18" customWidth="1" min="5" max="5"/>
    <col width="24" customWidth="1" min="6" max="6"/>
    <col width="20" customWidth="1" min="7" max="7"/>
    <col width="22" customWidth="1" min="8" max="8"/>
    <col width="12" customWidth="1" min="9" max="9"/>
  </cols>
  <sheetData>
    <row r="1">
      <c r="A1" s="1" t="inlineStr">
        <is>
          <t>BẢNG QUYẾT ĐỊNH SỐ QUẦY THEO KHUNG GIỜ (SIPP LÝ THUYẾT)</t>
        </is>
      </c>
    </row>
    <row r="2">
      <c r="A2" s="10" t="inlineStr">
        <is>
          <t>Dữ liệu tham số thực tế: E[S] = 2.88 phút, cs² = 1.20, SLA: P(Wq &lt;= 5 phút) &gt;= 90%</t>
        </is>
      </c>
    </row>
    <row r="4">
      <c r="A4" s="15" t="inlineStr">
        <is>
          <t>Khung giờ</t>
        </is>
      </c>
      <c r="B4" s="15" t="inlineStr">
        <is>
          <t>λ (khách/phút)</t>
        </is>
      </c>
      <c r="C4" s="15" t="inlineStr">
        <is>
          <t>E[S] (phút)</t>
        </is>
      </c>
      <c r="D4" s="15" t="inlineStr">
        <is>
          <t>cs²</t>
        </is>
      </c>
      <c r="E4" s="15" t="inlineStr">
        <is>
          <t>Tải a (Erlang)</t>
        </is>
      </c>
      <c r="F4" s="15" t="inlineStr">
        <is>
          <t>Số quầy c (Erlang C)</t>
        </is>
      </c>
      <c r="G4" s="15" t="inlineStr">
        <is>
          <t>Hiệu suất ρ</t>
        </is>
      </c>
      <c r="H4" s="15" t="inlineStr">
        <is>
          <t>P(Wq &lt;= 5) dự kiến</t>
        </is>
      </c>
      <c r="I4" s="15" t="inlineStr">
        <is>
          <t>Đạt SLA?</t>
        </is>
      </c>
    </row>
    <row r="5">
      <c r="A5" s="16" t="inlineStr">
        <is>
          <t>8h - 9h</t>
        </is>
      </c>
      <c r="B5" s="18" t="n">
        <v>1.019</v>
      </c>
      <c r="C5" s="19" t="n">
        <v>2.88</v>
      </c>
      <c r="D5" s="19" t="n">
        <v>1.2</v>
      </c>
      <c r="E5" s="19">
        <f>B5*C5</f>
        <v/>
      </c>
      <c r="F5" s="24" t="n">
        <v>4</v>
      </c>
      <c r="G5" s="17">
        <f>E5/F5</f>
        <v/>
      </c>
      <c r="H5" s="17" t="n">
        <v>0.9245</v>
      </c>
      <c r="I5" s="16" t="inlineStr">
        <is>
          <t>ĐẠT</t>
        </is>
      </c>
    </row>
    <row r="6">
      <c r="A6" s="16" t="inlineStr">
        <is>
          <t>9h - 10h</t>
        </is>
      </c>
      <c r="B6" s="18" t="n">
        <v>1.4333</v>
      </c>
      <c r="C6" s="19" t="n">
        <v>2.88</v>
      </c>
      <c r="D6" s="19" t="n">
        <v>1.2</v>
      </c>
      <c r="E6" s="19">
        <f>B6*C6</f>
        <v/>
      </c>
      <c r="F6" s="24" t="n">
        <v>6</v>
      </c>
      <c r="G6" s="17">
        <f>E6/F6</f>
        <v/>
      </c>
      <c r="H6" s="17" t="n">
        <v>0.9878</v>
      </c>
      <c r="I6" s="16" t="inlineStr">
        <is>
          <t>ĐẠT</t>
        </is>
      </c>
    </row>
    <row r="7">
      <c r="A7" s="16" t="inlineStr">
        <is>
          <t>10h - 11h</t>
        </is>
      </c>
      <c r="B7" s="18" t="n">
        <v>1.644</v>
      </c>
      <c r="C7" s="19" t="n">
        <v>2.88</v>
      </c>
      <c r="D7" s="19" t="n">
        <v>1.2</v>
      </c>
      <c r="E7" s="19">
        <f>B7*C7</f>
        <v/>
      </c>
      <c r="F7" s="24" t="n">
        <v>6</v>
      </c>
      <c r="G7" s="17">
        <f>E7/F7</f>
        <v/>
      </c>
      <c r="H7" s="17" t="n">
        <v>0.9453</v>
      </c>
      <c r="I7" s="16" t="inlineStr">
        <is>
          <t>ĐẠT</t>
        </is>
      </c>
    </row>
    <row r="8">
      <c r="A8" s="16" t="inlineStr">
        <is>
          <t>11h - 12h</t>
        </is>
      </c>
      <c r="B8" s="18" t="n">
        <v>1.4393</v>
      </c>
      <c r="C8" s="19" t="n">
        <v>2.88</v>
      </c>
      <c r="D8" s="19" t="n">
        <v>1.2</v>
      </c>
      <c r="E8" s="19">
        <f>B8*C8</f>
        <v/>
      </c>
      <c r="F8" s="24" t="n">
        <v>6</v>
      </c>
      <c r="G8" s="17">
        <f>E8/F8</f>
        <v/>
      </c>
      <c r="H8" s="17" t="n">
        <v>0.9873</v>
      </c>
      <c r="I8" s="16" t="inlineStr">
        <is>
          <t>ĐẠT</t>
        </is>
      </c>
    </row>
    <row r="9">
      <c r="A9" s="16" t="inlineStr">
        <is>
          <t>12h - 13h</t>
        </is>
      </c>
      <c r="B9" s="18" t="n">
        <v>1.2393</v>
      </c>
      <c r="C9" s="19" t="n">
        <v>2.88</v>
      </c>
      <c r="D9" s="19" t="n">
        <v>1.2</v>
      </c>
      <c r="E9" s="19">
        <f>B9*C9</f>
        <v/>
      </c>
      <c r="F9" s="24" t="n">
        <v>5</v>
      </c>
      <c r="G9" s="17">
        <f>E9/F9</f>
        <v/>
      </c>
      <c r="H9" s="17" t="n">
        <v>0.9668</v>
      </c>
      <c r="I9" s="16" t="inlineStr">
        <is>
          <t>ĐẠT</t>
        </is>
      </c>
    </row>
    <row r="10">
      <c r="A10" s="16" t="inlineStr">
        <is>
          <t>13h - 14h</t>
        </is>
      </c>
      <c r="B10" s="18" t="n">
        <v>1.2429</v>
      </c>
      <c r="C10" s="19" t="n">
        <v>2.88</v>
      </c>
      <c r="D10" s="19" t="n">
        <v>1.2</v>
      </c>
      <c r="E10" s="19">
        <f>B10*C10</f>
        <v/>
      </c>
      <c r="F10" s="24" t="n">
        <v>5</v>
      </c>
      <c r="G10" s="17">
        <f>E10/F10</f>
        <v/>
      </c>
      <c r="H10" s="17" t="n">
        <v>0.9659</v>
      </c>
      <c r="I10" s="16" t="inlineStr">
        <is>
          <t>ĐẠT</t>
        </is>
      </c>
    </row>
    <row r="11">
      <c r="A11" s="16" t="inlineStr">
        <is>
          <t>14h - 15h</t>
        </is>
      </c>
      <c r="B11" s="18" t="n">
        <v>1.3214</v>
      </c>
      <c r="C11" s="19" t="n">
        <v>2.88</v>
      </c>
      <c r="D11" s="19" t="n">
        <v>1.2</v>
      </c>
      <c r="E11" s="19">
        <f>B11*C11</f>
        <v/>
      </c>
      <c r="F11" s="24" t="n">
        <v>5</v>
      </c>
      <c r="G11" s="17">
        <f>E11/F11</f>
        <v/>
      </c>
      <c r="H11" s="17" t="n">
        <v>0.9398</v>
      </c>
      <c r="I11" s="16" t="inlineStr">
        <is>
          <t>ĐẠT</t>
        </is>
      </c>
    </row>
    <row r="12">
      <c r="A12" s="16" t="inlineStr">
        <is>
          <t>15h - 16h</t>
        </is>
      </c>
      <c r="B12" s="18" t="n">
        <v>1.3048</v>
      </c>
      <c r="C12" s="19" t="n">
        <v>2.88</v>
      </c>
      <c r="D12" s="19" t="n">
        <v>1.2</v>
      </c>
      <c r="E12" s="19">
        <f>B12*C12</f>
        <v/>
      </c>
      <c r="F12" s="24" t="n">
        <v>5</v>
      </c>
      <c r="G12" s="17">
        <f>E12/F12</f>
        <v/>
      </c>
      <c r="H12" s="17" t="n">
        <v>0.9466</v>
      </c>
      <c r="I12" s="16" t="inlineStr">
        <is>
          <t>ĐẠT</t>
        </is>
      </c>
    </row>
    <row r="13">
      <c r="A13" s="16" t="inlineStr">
        <is>
          <t>16h - 17h</t>
        </is>
      </c>
      <c r="B13" s="18" t="n">
        <v>1.0655</v>
      </c>
      <c r="C13" s="19" t="n">
        <v>2.88</v>
      </c>
      <c r="D13" s="19" t="n">
        <v>1.2</v>
      </c>
      <c r="E13" s="19">
        <f>B13*C13</f>
        <v/>
      </c>
      <c r="F13" s="24" t="n">
        <v>5</v>
      </c>
      <c r="G13" s="17">
        <f>E13/F13</f>
        <v/>
      </c>
      <c r="H13" s="17" t="n">
        <v>0.9912</v>
      </c>
      <c r="I13" s="16" t="inlineStr">
        <is>
          <t>ĐẠT</t>
        </is>
      </c>
    </row>
    <row r="14">
      <c r="A14" s="25" t="inlineStr">
        <is>
          <t>TỔNG CỘNG / TRUNG BÌNH</t>
        </is>
      </c>
      <c r="F14" s="26">
        <f>SUM(F5:F13)</f>
        <v/>
      </c>
      <c r="G14" s="27">
        <f>AVERAGE(G5:G13)</f>
        <v/>
      </c>
      <c r="H14" s="27">
        <f>AVERAGE(H5:H13)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2026-10-21T10:04:29Z</dcterms:created>
  <dcterms:modified xmlns:dcterms="http://purl.org/dc/terms/" xmlns:xsi="http://www.w3.org/2001/XMLSchema-instance" xsi:type="dcterms:W3CDTF">2026-10-21T10:22:40Z</dcterms:modified>
</cp:coreProperties>
</file>