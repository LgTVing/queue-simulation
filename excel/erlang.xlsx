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KHDV\excel\"/>
    </mc:Choice>
  </mc:AlternateContent>
  <xr:revisionPtr revIDLastSave="0" documentId="11_79710CDB35F2DC6E6E53119A99AFFDE7B918E405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Input" sheetId="1" r:id="rId1"/>
    <sheet name="ErlangC" sheetId="2" r:id="rId2"/>
    <sheet name="Tra_c" sheetId="3" r:id="rId3"/>
    <sheet name="Allen_Cunneen" sheetId="4" r:id="rId4"/>
    <sheet name="Quyet_dinh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4" i="5" l="1"/>
  <c r="F14" i="5"/>
  <c r="E13" i="5"/>
  <c r="G13" i="5" s="1"/>
  <c r="E12" i="5"/>
  <c r="G12" i="5" s="1"/>
  <c r="E11" i="5"/>
  <c r="G11" i="5" s="1"/>
  <c r="E10" i="5"/>
  <c r="G10" i="5" s="1"/>
  <c r="E9" i="5"/>
  <c r="G9" i="5" s="1"/>
  <c r="E8" i="5"/>
  <c r="G8" i="5" s="1"/>
  <c r="E7" i="5"/>
  <c r="G7" i="5" s="1"/>
  <c r="E6" i="5"/>
  <c r="G6" i="5" s="1"/>
  <c r="E5" i="5"/>
  <c r="G5" i="5" s="1"/>
  <c r="B4" i="1"/>
  <c r="B3" i="1"/>
  <c r="A10" i="2" l="1"/>
  <c r="B10" i="2" s="1"/>
  <c r="G14" i="5"/>
  <c r="C10" i="2" l="1"/>
  <c r="A11" i="2"/>
  <c r="D10" i="2" l="1"/>
  <c r="F10" i="2"/>
  <c r="G10" i="2" s="1"/>
  <c r="B11" i="2"/>
  <c r="A12" i="2"/>
  <c r="C11" i="2"/>
  <c r="B5" i="4" l="1"/>
  <c r="E10" i="2"/>
  <c r="B12" i="2"/>
  <c r="C12" i="2"/>
  <c r="A13" i="2"/>
  <c r="D11" i="2"/>
  <c r="F11" i="2"/>
  <c r="G11" i="2" s="1"/>
  <c r="B3" i="2" s="1"/>
  <c r="C5" i="4" l="1"/>
  <c r="E5" i="4"/>
  <c r="D5" i="4"/>
  <c r="F5" i="4" s="1"/>
  <c r="F12" i="2"/>
  <c r="G12" i="2" s="1"/>
  <c r="D12" i="2"/>
  <c r="B13" i="2"/>
  <c r="C13" i="2"/>
  <c r="A14" i="2"/>
  <c r="B6" i="4"/>
  <c r="E11" i="2"/>
  <c r="B5" i="2"/>
  <c r="B4" i="2"/>
  <c r="B6" i="2"/>
  <c r="B7" i="4" l="1"/>
  <c r="E12" i="2"/>
  <c r="D13" i="2"/>
  <c r="F13" i="2"/>
  <c r="G13" i="2" s="1"/>
  <c r="B14" i="2"/>
  <c r="C14" i="2"/>
  <c r="A15" i="2"/>
  <c r="C6" i="4"/>
  <c r="D6" i="4"/>
  <c r="F6" i="4" s="1"/>
  <c r="E6" i="4"/>
  <c r="C7" i="4" l="1"/>
  <c r="D7" i="4"/>
  <c r="F7" i="4" s="1"/>
  <c r="E7" i="4"/>
  <c r="B8" i="4"/>
  <c r="E13" i="2"/>
  <c r="D14" i="2"/>
  <c r="F14" i="2"/>
  <c r="G14" i="2" s="1"/>
  <c r="B15" i="2"/>
  <c r="C15" i="2" s="1"/>
  <c r="A16" i="2"/>
  <c r="C8" i="4" l="1"/>
  <c r="D8" i="4"/>
  <c r="F8" i="4" s="1"/>
  <c r="E8" i="4"/>
  <c r="E14" i="2"/>
  <c r="B9" i="4"/>
  <c r="F15" i="2"/>
  <c r="G15" i="2" s="1"/>
  <c r="D15" i="2"/>
  <c r="B16" i="2"/>
  <c r="C16" i="2"/>
  <c r="A17" i="2"/>
  <c r="C9" i="4" l="1"/>
  <c r="D9" i="4"/>
  <c r="F9" i="4" s="1"/>
  <c r="E9" i="4"/>
  <c r="E15" i="2"/>
  <c r="B10" i="4"/>
  <c r="F16" i="2"/>
  <c r="G16" i="2" s="1"/>
  <c r="D16" i="2"/>
  <c r="B17" i="2"/>
  <c r="A18" i="2"/>
  <c r="C17" i="2"/>
  <c r="C10" i="4" l="1"/>
  <c r="D10" i="4"/>
  <c r="F10" i="4" s="1"/>
  <c r="E10" i="4"/>
  <c r="E16" i="2"/>
  <c r="B11" i="4"/>
  <c r="B18" i="2"/>
  <c r="C18" i="2" s="1"/>
  <c r="A19" i="2"/>
  <c r="F17" i="2"/>
  <c r="G17" i="2" s="1"/>
  <c r="D17" i="2"/>
  <c r="C11" i="4" l="1"/>
  <c r="D11" i="4"/>
  <c r="F11" i="4" s="1"/>
  <c r="E11" i="4"/>
  <c r="D18" i="2"/>
  <c r="F18" i="2"/>
  <c r="G18" i="2" s="1"/>
  <c r="B19" i="2"/>
  <c r="C19" i="2"/>
  <c r="A20" i="2"/>
  <c r="E17" i="2"/>
  <c r="B12" i="4"/>
  <c r="B13" i="4" l="1"/>
  <c r="E18" i="2"/>
  <c r="F19" i="2"/>
  <c r="G19" i="2" s="1"/>
  <c r="D19" i="2"/>
  <c r="B20" i="2"/>
  <c r="A21" i="2"/>
  <c r="C20" i="2"/>
  <c r="C12" i="4"/>
  <c r="D12" i="4"/>
  <c r="F12" i="4" s="1"/>
  <c r="E12" i="4"/>
  <c r="C13" i="4" l="1"/>
  <c r="D13" i="4"/>
  <c r="F13" i="4" s="1"/>
  <c r="E13" i="4"/>
  <c r="E19" i="2"/>
  <c r="B14" i="4"/>
  <c r="B21" i="2"/>
  <c r="C21" i="2"/>
  <c r="A22" i="2"/>
  <c r="D20" i="2"/>
  <c r="E20" i="2" s="1"/>
  <c r="F20" i="2"/>
  <c r="G20" i="2" s="1"/>
  <c r="C14" i="4" l="1"/>
  <c r="D14" i="4"/>
  <c r="F14" i="4" s="1"/>
  <c r="E14" i="4"/>
  <c r="F21" i="2"/>
  <c r="G21" i="2" s="1"/>
  <c r="D21" i="2"/>
  <c r="E21" i="2" s="1"/>
  <c r="B22" i="2"/>
  <c r="C22" i="2"/>
  <c r="A23" i="2"/>
  <c r="F22" i="2" l="1"/>
  <c r="G22" i="2" s="1"/>
  <c r="D22" i="2"/>
  <c r="E22" i="2" s="1"/>
  <c r="B23" i="2"/>
  <c r="C23" i="2"/>
  <c r="A24" i="2"/>
  <c r="F23" i="2" l="1"/>
  <c r="G23" i="2" s="1"/>
  <c r="D23" i="2"/>
  <c r="E23" i="2" s="1"/>
  <c r="B24" i="2"/>
  <c r="C24" i="2"/>
  <c r="F24" i="2" l="1"/>
  <c r="G24" i="2" s="1"/>
  <c r="D24" i="2"/>
  <c r="E24" i="2" s="1"/>
</calcChain>
</file>

<file path=xl/sharedStrings.xml><?xml version="1.0" encoding="utf-8"?>
<sst xmlns="http://schemas.openxmlformats.org/spreadsheetml/2006/main" count="74" uniqueCount="60">
  <si>
    <t>λ (khách/phút)</t>
  </si>
  <si>
    <t>khách/phút</t>
  </si>
  <si>
    <t>Tốc độ khách đến trung bình</t>
  </si>
  <si>
    <t>E[S] (phút)</t>
  </si>
  <si>
    <t>phút</t>
  </si>
  <si>
    <t>Thời gian phục vụ trung bình</t>
  </si>
  <si>
    <t>μ = 1/E[S]</t>
  </si>
  <si>
    <t>Tốc độ phục vụ của 1 quầy</t>
  </si>
  <si>
    <t>a = λ*E[S] (Erlang)</t>
  </si>
  <si>
    <t>Erlang</t>
  </si>
  <si>
    <t>Cường độ tải giao thông</t>
  </si>
  <si>
    <t>Ngưỡng chờ t (phút)</t>
  </si>
  <si>
    <t>Ngưỡng cam kết thời gian chờ SLA</t>
  </si>
  <si>
    <t>Mục tiêu P(chờ &lt;= t)</t>
  </si>
  <si>
    <t>90%</t>
  </si>
  <si>
    <t>Tỉ lệ tối thiểu khách chờ &lt;= t</t>
  </si>
  <si>
    <t>TÍNH TOÁN CÔNG THỨC ERLANG C VÀ SỐ QUẦY TỐI THIỂU</t>
  </si>
  <si>
    <t>Số quầy nhỏ nhất đạt SLA:</t>
  </si>
  <si>
    <t>Hiệu suất sử dụng (ρ):</t>
  </si>
  <si>
    <t>Thời gian chờ TB Wq:</t>
  </si>
  <si>
    <t>P(Wq &lt;= 5 phút):</t>
  </si>
  <si>
    <t>Số quầy c</t>
  </si>
  <si>
    <t>ρ = a/c</t>
  </si>
  <si>
    <t>Xác suất chờ C(c, a)</t>
  </si>
  <si>
    <t>Wq (phút)</t>
  </si>
  <si>
    <t>Lq (khách)</t>
  </si>
  <si>
    <t>P(Wq &lt;= t)</t>
  </si>
  <si>
    <t>Đạt mục tiêu?</t>
  </si>
  <si>
    <t>BẢNG TRA SỐ QUẦY TỐI THIỂU ĐẠT SLA 90% (t &lt;= 5 phút)</t>
  </si>
  <si>
    <t>E[S] = 2.0 phút (μ = 0.50)</t>
  </si>
  <si>
    <t>E[S] = 3.0 phút (μ = 0.33)</t>
  </si>
  <si>
    <t>E[S] = 4.0 phút (μ = 0.25)</t>
  </si>
  <si>
    <t>E[S] = 5.0 phút (μ = 0.20)</t>
  </si>
  <si>
    <t>XẤP XỈ ALLEN - CUNNEEN CHO HÀNG ĐỢI M/G/c</t>
  </si>
  <si>
    <t>Công thức: Wq(M/G/c) ≈ (1 + cs²) / 2 * Wq(M/M/c)</t>
  </si>
  <si>
    <t>Wq M/M/c (cs²=1.0)</t>
  </si>
  <si>
    <t>Wq (cs²=0.5)</t>
  </si>
  <si>
    <t>Wq (cs²=1.2 - Thực tế)</t>
  </si>
  <si>
    <t>Wq (cs²=1.5)</t>
  </si>
  <si>
    <t>Tăng thời gian chờ do cs²&gt;1</t>
  </si>
  <si>
    <t>BẢNG QUYẾT ĐỊNH SỐ QUẦY THEO KHUNG GIỜ (SIPP LÝ THUYẾT)</t>
  </si>
  <si>
    <t>Tham số thực tế: E[S] = 2.88 phút, cs² = 1.20, SLA: P(Wq &lt;= 5 phút) &gt;= 90%</t>
  </si>
  <si>
    <t>Khung giờ</t>
  </si>
  <si>
    <t>cs²</t>
  </si>
  <si>
    <t>Tải a (Erlang)</t>
  </si>
  <si>
    <t>Số quầy c (Erlang C)</t>
  </si>
  <si>
    <t>Hiệu suất ρ</t>
  </si>
  <si>
    <t>P(Wq &lt;= 5) dự kiến</t>
  </si>
  <si>
    <t>Đạt SLA?</t>
  </si>
  <si>
    <t>8h - 9h</t>
  </si>
  <si>
    <t>ĐẠT</t>
  </si>
  <si>
    <t>9h - 10h</t>
  </si>
  <si>
    <t>10h - 11h</t>
  </si>
  <si>
    <t>11h - 12h</t>
  </si>
  <si>
    <t>12h - 13h</t>
  </si>
  <si>
    <t>13h - 14h</t>
  </si>
  <si>
    <t>14h - 15h</t>
  </si>
  <si>
    <t>15h - 16h</t>
  </si>
  <si>
    <t>16h - 17h</t>
  </si>
  <si>
    <t>TỔNG CỘNG / TRUNG BÌNH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</si>
</sst>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000"/>
    <numFmt numFmtId="165" formatCode="0.0"/>
    <numFmt numFmtId="166" formatCode="0.0%"/>
    <numFmt numFmtId="167" formatCode="0.00\ &quot;phút&quot;"/>
    <numFmt numFmtId="168" formatCode="\+0.0%"/>
  </numFmts>
  <fonts count="8" x14ac:knownFonts="1">
    <font>
      <sz val="11"/>
      <color theme="1"/>
      <name val="Calibri"/>
      <family val="2"/>
      <scheme val="minor"/>
    </font>
    <font>
      <b/>
      <sz val="11"/>
      <name val="Segoe UI"/>
    </font>
    <font>
      <b/>
      <sz val="13"/>
      <color rgb="FF1F4E78"/>
      <name val="Segoe UI"/>
    </font>
    <font>
      <b/>
      <sz val="14"/>
      <color rgb="FF006100"/>
      <name val="Segoe UI"/>
    </font>
    <font>
      <b/>
      <sz val="11"/>
      <color rgb="FF006100"/>
      <name val="Segoe UI"/>
    </font>
    <font>
      <b/>
      <sz val="11"/>
      <color rgb="FFFFFFFF"/>
      <name val="Segoe UI"/>
    </font>
    <font>
      <sz val="11"/>
      <name val="Segoe UI"/>
    </font>
    <font>
      <b/>
      <sz val="12"/>
      <color rgb="FF1F4E78"/>
      <name val="Segoe UI"/>
    </font>
  </fonts>
  <fills count="6">
    <fill>
      <patternFill patternType="none"/>
    </fill>
    <fill>
      <patternFill patternType="gray125"/>
    </fill>
    <fill>
      <patternFill patternType="solid">
        <fgColor rgb="FFD9E1F2"/>
        <bgColor rgb="FFD9E1F2"/>
      </patternFill>
    </fill>
    <fill>
      <patternFill patternType="solid">
        <fgColor rgb="FFC6EFCE"/>
        <bgColor rgb="FFC6EFCE"/>
      </patternFill>
    </fill>
    <fill>
      <patternFill patternType="solid">
        <fgColor rgb="FF1F4E78"/>
        <bgColor rgb="FF1F4E78"/>
      </patternFill>
    </fill>
    <fill>
      <patternFill patternType="solid">
        <fgColor rgb="FF2E75B6"/>
        <bgColor rgb="FF2E75B6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1" xfId="0" applyFont="1" applyBorder="1"/>
    <xf numFmtId="2" fontId="1" fillId="2" borderId="1" xfId="0" applyNumberFormat="1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164" fontId="1" fillId="2" borderId="1" xfId="0" applyNumberFormat="1" applyFont="1" applyFill="1" applyBorder="1" applyAlignment="1">
      <alignment horizontal="center"/>
    </xf>
    <xf numFmtId="165" fontId="1" fillId="2" borderId="1" xfId="0" applyNumberFormat="1" applyFont="1" applyFill="1" applyBorder="1" applyAlignment="1">
      <alignment horizontal="center"/>
    </xf>
    <xf numFmtId="166" fontId="1" fillId="2" borderId="1" xfId="0" applyNumberFormat="1" applyFont="1" applyFill="1" applyBorder="1" applyAlignment="1">
      <alignment horizontal="center"/>
    </xf>
    <xf numFmtId="0" fontId="2" fillId="0" borderId="0" xfId="0" applyFont="1"/>
    <xf numFmtId="0" fontId="1" fillId="0" borderId="0" xfId="0" applyFont="1"/>
    <xf numFmtId="0" fontId="3" fillId="3" borderId="0" xfId="0" applyFont="1" applyFill="1" applyAlignment="1">
      <alignment horizontal="center" vertical="center"/>
    </xf>
    <xf numFmtId="166" fontId="1" fillId="0" borderId="0" xfId="0" applyNumberFormat="1" applyFont="1" applyAlignment="1">
      <alignment horizontal="center" vertical="center"/>
    </xf>
    <xf numFmtId="167" fontId="1" fillId="0" borderId="0" xfId="0" applyNumberFormat="1" applyFont="1" applyAlignment="1">
      <alignment horizontal="center" vertical="center"/>
    </xf>
    <xf numFmtId="166" fontId="4" fillId="0" borderId="0" xfId="0" applyNumberFormat="1" applyFont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0" fontId="1" fillId="0" borderId="1" xfId="0" applyFon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5" fillId="5" borderId="0" xfId="0" applyFont="1" applyFill="1" applyAlignment="1">
      <alignment horizontal="center" vertical="center"/>
    </xf>
    <xf numFmtId="2" fontId="1" fillId="0" borderId="1" xfId="0" applyNumberFormat="1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168" fontId="0" fillId="0" borderId="1" xfId="0" applyNumberFormat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166" fontId="1" fillId="0" borderId="0" xfId="0" applyNumberFormat="1" applyFont="1" applyAlignment="1">
      <alignment horizontal="center"/>
    </xf>
  </cellXfs>
  <cellStyles count="1">
    <cellStyle name="Bình thường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"/>
  <sheetViews>
    <sheetView tabSelected="1" workbookViewId="0"/>
  </sheetViews>
  <sheetFormatPr defaultRowHeight="14.4" x14ac:dyDescent="0.3"/>
  <cols>
    <col min="1" max="1" width="24" customWidth="1"/>
    <col min="2" max="2" width="12" customWidth="1"/>
    <col min="3" max="3" width="14" customWidth="1"/>
    <col min="4" max="4" width="36" customWidth="1"/>
  </cols>
  <sheetData>
    <row r="1" spans="1:4" ht="16.8" x14ac:dyDescent="0.4">
      <c r="A1" s="1" t="s">
        <v>0</v>
      </c>
      <c r="B1" s="2">
        <v>1.5</v>
      </c>
      <c r="C1" s="3" t="s">
        <v>1</v>
      </c>
      <c r="D1" s="4" t="s">
        <v>2</v>
      </c>
    </row>
    <row r="2" spans="1:4" ht="16.8" x14ac:dyDescent="0.4">
      <c r="A2" s="1" t="s">
        <v>3</v>
      </c>
      <c r="B2" s="2">
        <v>3</v>
      </c>
      <c r="C2" s="3" t="s">
        <v>4</v>
      </c>
      <c r="D2" s="4" t="s">
        <v>5</v>
      </c>
    </row>
    <row r="3" spans="1:4" ht="16.8" x14ac:dyDescent="0.4">
      <c r="A3" s="1" t="s">
        <v>6</v>
      </c>
      <c r="B3" s="5">
        <f>1/B2</f>
        <v>0.33333333333333331</v>
      </c>
      <c r="C3" s="3" t="s">
        <v>1</v>
      </c>
      <c r="D3" s="4" t="s">
        <v>7</v>
      </c>
    </row>
    <row r="4" spans="1:4" ht="16.8" x14ac:dyDescent="0.4">
      <c r="A4" s="1" t="s">
        <v>8</v>
      </c>
      <c r="B4" s="2">
        <f>B1*B2</f>
        <v>4.5</v>
      </c>
      <c r="C4" s="3" t="s">
        <v>9</v>
      </c>
      <c r="D4" s="4" t="s">
        <v>10</v>
      </c>
    </row>
    <row r="5" spans="1:4" ht="16.8" x14ac:dyDescent="0.4">
      <c r="A5" s="1" t="s">
        <v>11</v>
      </c>
      <c r="B5" s="6">
        <v>5</v>
      </c>
      <c r="C5" s="3" t="s">
        <v>4</v>
      </c>
      <c r="D5" s="4" t="s">
        <v>12</v>
      </c>
    </row>
    <row r="6" spans="1:4" ht="16.8" x14ac:dyDescent="0.4">
      <c r="A6" s="1" t="s">
        <v>13</v>
      </c>
      <c r="B6" s="7">
        <v>0.9</v>
      </c>
      <c r="C6" s="3" t="s">
        <v>14</v>
      </c>
      <c r="D6" s="4" t="s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4"/>
  <sheetViews>
    <sheetView workbookViewId="0"/>
  </sheetViews>
  <sheetFormatPr defaultRowHeight="14.4" x14ac:dyDescent="0.3"/>
  <cols>
    <col min="1" max="1" width="53" customWidth="1"/>
    <col min="2" max="2" width="45" customWidth="1"/>
    <col min="3" max="3" width="117" customWidth="1"/>
    <col min="4" max="4" width="36" customWidth="1"/>
    <col min="5" max="5" width="19" customWidth="1"/>
    <col min="6" max="6" width="55" customWidth="1"/>
    <col min="7" max="7" width="38" customWidth="1"/>
  </cols>
  <sheetData>
    <row r="1" spans="1:7" ht="19.8" x14ac:dyDescent="0.45">
      <c r="A1" s="8" t="s">
        <v>16</v>
      </c>
    </row>
    <row r="3" spans="1:7" ht="20.399999999999999" x14ac:dyDescent="0.4">
      <c r="A3" s="9" t="s">
        <v>17</v>
      </c>
      <c r="B3" s="10">
        <f>INDEX(A10:A24, MATCH("ĐẠT", G10:G24, 0))</f>
        <v>6</v>
      </c>
    </row>
    <row r="4" spans="1:7" ht="16.8" x14ac:dyDescent="0.4">
      <c r="A4" s="9" t="s">
        <v>18</v>
      </c>
      <c r="B4" s="11">
        <f>VLOOKUP(B3, A10:G24, 2, FALSE)</f>
        <v>0.75</v>
      </c>
    </row>
    <row r="5" spans="1:7" ht="16.8" x14ac:dyDescent="0.4">
      <c r="A5" s="9" t="s">
        <v>19</v>
      </c>
      <c r="B5" s="12">
        <f>VLOOKUP(B3, A10:G24, 4, FALSE)</f>
        <v>0.84330415161165961</v>
      </c>
    </row>
    <row r="6" spans="1:7" ht="16.8" x14ac:dyDescent="0.4">
      <c r="A6" s="9" t="s">
        <v>20</v>
      </c>
      <c r="B6" s="13">
        <f>VLOOKUP(B3, A10:G24, 6, FALSE)</f>
        <v>0.96538868993771443</v>
      </c>
    </row>
    <row r="9" spans="1:7" ht="16.8" x14ac:dyDescent="0.3">
      <c r="A9" s="14" t="s">
        <v>21</v>
      </c>
      <c r="B9" s="14" t="s">
        <v>22</v>
      </c>
      <c r="C9" s="14" t="s">
        <v>23</v>
      </c>
      <c r="D9" s="14" t="s">
        <v>24</v>
      </c>
      <c r="E9" s="14" t="s">
        <v>25</v>
      </c>
      <c r="F9" s="14" t="s">
        <v>26</v>
      </c>
      <c r="G9" s="14" t="s">
        <v>27</v>
      </c>
    </row>
    <row r="10" spans="1:7" ht="16.8" x14ac:dyDescent="0.4">
      <c r="A10" s="15">
        <f>INT(Input!$B$4)+1</f>
        <v>5</v>
      </c>
      <c r="B10" s="16">
        <f>Input!$B$4/A10</f>
        <v>0.9</v>
      </c>
      <c r="C10" s="17">
        <f>(POISSON(A10,Input!$B$4,FALSE)/(1-B10))/((POISSON(A10,Input!$B$4,FALSE)/(1-B10))+POISSON(A10-1,Input!$B$4,TRUE))</f>
        <v>0.76249322073293579</v>
      </c>
      <c r="D10" s="18">
        <f>C10/(A10*Input!$B$3-Input!$B$1)</f>
        <v>4.5749593243976188</v>
      </c>
      <c r="E10" s="18">
        <f>Input!$B$1*D10</f>
        <v>6.8624389865964286</v>
      </c>
      <c r="F10" s="16">
        <f>1-C10*EXP(-(A10*Input!$B$3-Input!$B$1)*Input!$B$5)</f>
        <v>0.66862181227067374</v>
      </c>
      <c r="G10" s="15" t="str">
        <f>IF(F10&gt;=Input!$B$6,"ĐẠT","KHÔNG")</f>
        <v>KHÔNG</v>
      </c>
    </row>
    <row r="11" spans="1:7" ht="16.8" x14ac:dyDescent="0.4">
      <c r="A11" s="15">
        <f t="shared" ref="A11:A24" si="0">A10+1</f>
        <v>6</v>
      </c>
      <c r="B11" s="16">
        <f>Input!$B$4/A11</f>
        <v>0.75</v>
      </c>
      <c r="C11" s="17">
        <f>(POISSON(A11,Input!$B$4,FALSE)/(1-B11))/((POISSON(A11,Input!$B$4,FALSE)/(1-B11))+POISSON(A11-1,Input!$B$4,TRUE))</f>
        <v>0.42165207580582981</v>
      </c>
      <c r="D11" s="18">
        <f>C11/(A11*Input!$B$3-Input!$B$1)</f>
        <v>0.84330415161165961</v>
      </c>
      <c r="E11" s="18">
        <f>Input!$B$1*D11</f>
        <v>1.2649562274174895</v>
      </c>
      <c r="F11" s="16">
        <f>1-C11*EXP(-(A11*Input!$B$3-Input!$B$1)*Input!$B$5)</f>
        <v>0.96538868993771443</v>
      </c>
      <c r="G11" s="15" t="str">
        <f>IF(F11&gt;=Input!$B$6,"ĐẠT","KHÔNG")</f>
        <v>ĐẠT</v>
      </c>
    </row>
    <row r="12" spans="1:7" ht="16.8" x14ac:dyDescent="0.4">
      <c r="A12" s="15">
        <f t="shared" si="0"/>
        <v>7</v>
      </c>
      <c r="B12" s="16">
        <f>Input!$B$4/A12</f>
        <v>0.6428571428571429</v>
      </c>
      <c r="C12" s="17">
        <f>(POISSON(A12,Input!$B$4,FALSE)/(1-B12))/((POISSON(A12,Input!$B$4,FALSE)/(1-B12))+POISSON(A12-1,Input!$B$4,TRUE))</f>
        <v>0.21722093105954277</v>
      </c>
      <c r="D12" s="18">
        <f>C12/(A12*Input!$B$3-Input!$B$1)</f>
        <v>0.26066511727145142</v>
      </c>
      <c r="E12" s="18">
        <f>Input!$B$1*D12</f>
        <v>0.39099767590717716</v>
      </c>
      <c r="F12" s="16">
        <f>1-C12*EXP(-(A12*Input!$B$3-Input!$B$1)*Input!$B$5)</f>
        <v>0.9966322384862123</v>
      </c>
      <c r="G12" s="15" t="str">
        <f>IF(F12&gt;=Input!$B$6,"ĐẠT","KHÔNG")</f>
        <v>ĐẠT</v>
      </c>
    </row>
    <row r="13" spans="1:7" ht="16.8" x14ac:dyDescent="0.4">
      <c r="A13" s="15">
        <f t="shared" si="0"/>
        <v>8</v>
      </c>
      <c r="B13" s="16">
        <f>Input!$B$4/A13</f>
        <v>0.5625</v>
      </c>
      <c r="C13" s="17">
        <f>(POISSON(A13,Input!$B$4,FALSE)/(1-B13))/((POISSON(A13,Input!$B$4,FALSE)/(1-B13))+POISSON(A13-1,Input!$B$4,TRUE))</f>
        <v>0.10388924947599995</v>
      </c>
      <c r="D13" s="18">
        <f>C13/(A13*Input!$B$3-Input!$B$1)</f>
        <v>8.904792812228568E-2</v>
      </c>
      <c r="E13" s="18">
        <f>Input!$B$1*D13</f>
        <v>0.13357189218342852</v>
      </c>
      <c r="F13" s="16">
        <f>1-C13*EXP(-(A13*Input!$B$3-Input!$B$1)*Input!$B$5)</f>
        <v>0.99969578114246449</v>
      </c>
      <c r="G13" s="15" t="str">
        <f>IF(F13&gt;=Input!$B$6,"ĐẠT","KHÔNG")</f>
        <v>ĐẠT</v>
      </c>
    </row>
    <row r="14" spans="1:7" ht="16.8" x14ac:dyDescent="0.4">
      <c r="A14" s="15">
        <f t="shared" si="0"/>
        <v>9</v>
      </c>
      <c r="B14" s="16">
        <f>Input!$B$4/A14</f>
        <v>0.5</v>
      </c>
      <c r="C14" s="17">
        <f>(POISSON(A14,Input!$B$4,FALSE)/(1-B14))/((POISSON(A14,Input!$B$4,FALSE)/(1-B14))+POISSON(A14-1,Input!$B$4,TRUE))</f>
        <v>4.6049553337618745E-2</v>
      </c>
      <c r="D14" s="18">
        <f>C14/(A14*Input!$B$3-Input!$B$1)</f>
        <v>3.0699702225079162E-2</v>
      </c>
      <c r="E14" s="18">
        <f>Input!$B$1*D14</f>
        <v>4.6049553337618745E-2</v>
      </c>
      <c r="F14" s="16">
        <f>1-C14*EXP(-(A14*Input!$B$3-Input!$B$1)*Input!$B$5)</f>
        <v>0.99997453071179665</v>
      </c>
      <c r="G14" s="15" t="str">
        <f>IF(F14&gt;=Input!$B$6,"ĐẠT","KHÔNG")</f>
        <v>ĐẠT</v>
      </c>
    </row>
    <row r="15" spans="1:7" ht="16.8" x14ac:dyDescent="0.4">
      <c r="A15" s="15">
        <f t="shared" si="0"/>
        <v>10</v>
      </c>
      <c r="B15" s="16">
        <f>Input!$B$4/A15</f>
        <v>0.45</v>
      </c>
      <c r="C15" s="17">
        <f>(POISSON(A15,Input!$B$4,FALSE)/(1-B15))/((POISSON(A15,Input!$B$4,FALSE)/(1-B15))+POISSON(A15-1,Input!$B$4,TRUE))</f>
        <v>1.8917649027928925E-2</v>
      </c>
      <c r="D15" s="18">
        <f>C15/(A15*Input!$B$3-Input!$B$1)</f>
        <v>1.0318717651597597E-2</v>
      </c>
      <c r="E15" s="18">
        <f>Input!$B$1*D15</f>
        <v>1.5478076477396395E-2</v>
      </c>
      <c r="F15" s="16">
        <f>1-C15*EXP(-(A15*Input!$B$3-Input!$B$1)*Input!$B$5)</f>
        <v>0.99999802378399094</v>
      </c>
      <c r="G15" s="15" t="str">
        <f>IF(F15&gt;=Input!$B$6,"ĐẠT","KHÔNG")</f>
        <v>ĐẠT</v>
      </c>
    </row>
    <row r="16" spans="1:7" ht="16.8" x14ac:dyDescent="0.4">
      <c r="A16" s="15">
        <f t="shared" si="0"/>
        <v>11</v>
      </c>
      <c r="B16" s="16">
        <f>Input!$B$4/A16</f>
        <v>0.40909090909090912</v>
      </c>
      <c r="C16" s="17">
        <f>(POISSON(A16,Input!$B$4,FALSE)/(1-B16))/((POISSON(A16,Input!$B$4,FALSE)/(1-B16))+POISSON(A16-1,Input!$B$4,TRUE))</f>
        <v>7.2127050283299476E-3</v>
      </c>
      <c r="D16" s="18">
        <f>C16/(A16*Input!$B$3-Input!$B$1)</f>
        <v>3.3289407823061299E-3</v>
      </c>
      <c r="E16" s="18">
        <f>Input!$B$1*D16</f>
        <v>4.9934111734591946E-3</v>
      </c>
      <c r="F16" s="16">
        <f>1-C16*EXP(-(A16*Input!$B$3-Input!$B$1)*Input!$B$5)</f>
        <v>0.99999985768807798</v>
      </c>
      <c r="G16" s="15" t="str">
        <f>IF(F16&gt;=Input!$B$6,"ĐẠT","KHÔNG")</f>
        <v>ĐẠT</v>
      </c>
    </row>
    <row r="17" spans="1:7" ht="16.8" x14ac:dyDescent="0.4">
      <c r="A17" s="15">
        <f t="shared" si="0"/>
        <v>12</v>
      </c>
      <c r="B17" s="16">
        <f>Input!$B$4/A17</f>
        <v>0.375</v>
      </c>
      <c r="C17" s="17">
        <f>(POISSON(A17,Input!$B$4,FALSE)/(1-B17))/((POISSON(A17,Input!$B$4,FALSE)/(1-B17))+POISSON(A17-1,Input!$B$4,TRUE))</f>
        <v>2.5582382455637551E-3</v>
      </c>
      <c r="D17" s="18">
        <f>C17/(A17*Input!$B$3-Input!$B$1)</f>
        <v>1.023295298225502E-3</v>
      </c>
      <c r="E17" s="18">
        <f>Input!$B$1*D17</f>
        <v>1.5349429473382531E-3</v>
      </c>
      <c r="F17" s="16">
        <f>1-C17*EXP(-(A17*Input!$B$3-Input!$B$1)*Input!$B$5)</f>
        <v>0.99999999046633337</v>
      </c>
      <c r="G17" s="15" t="str">
        <f>IF(F17&gt;=Input!$B$6,"ĐẠT","KHÔNG")</f>
        <v>ĐẠT</v>
      </c>
    </row>
    <row r="18" spans="1:7" ht="16.8" x14ac:dyDescent="0.4">
      <c r="A18" s="15">
        <f t="shared" si="0"/>
        <v>13</v>
      </c>
      <c r="B18" s="16">
        <f>Input!$B$4/A18</f>
        <v>0.34615384615384615</v>
      </c>
      <c r="C18" s="17">
        <f>(POISSON(A18,Input!$B$4,FALSE)/(1-B18))/((POISSON(A18,Input!$B$4,FALSE)/(1-B18))+POISSON(A18-1,Input!$B$4,TRUE))</f>
        <v>8.4657143705100201E-4</v>
      </c>
      <c r="D18" s="18">
        <f>C18/(A18*Input!$B$3-Input!$B$1)</f>
        <v>2.9878991895917719E-4</v>
      </c>
      <c r="E18" s="18">
        <f>Input!$B$1*D18</f>
        <v>4.4818487843876576E-4</v>
      </c>
      <c r="F18" s="16">
        <f>1-C18*EXP(-(A18*Input!$B$3-Input!$B$1)*Input!$B$5)</f>
        <v>0.99999999940412054</v>
      </c>
      <c r="G18" s="15" t="str">
        <f>IF(F18&gt;=Input!$B$6,"ĐẠT","KHÔNG")</f>
        <v>ĐẠT</v>
      </c>
    </row>
    <row r="19" spans="1:7" ht="16.8" x14ac:dyDescent="0.4">
      <c r="A19" s="15">
        <f t="shared" si="0"/>
        <v>14</v>
      </c>
      <c r="B19" s="16">
        <f>Input!$B$4/A19</f>
        <v>0.32142857142857145</v>
      </c>
      <c r="C19" s="17">
        <f>(POISSON(A19,Input!$B$4,FALSE)/(1-B19))/((POISSON(A19,Input!$B$4,FALSE)/(1-B19))+POISSON(A19-1,Input!$B$4,TRUE))</f>
        <v>2.6220531463227396E-4</v>
      </c>
      <c r="D19" s="18">
        <f>C19/(A19*Input!$B$3-Input!$B$1)</f>
        <v>8.2801678304928632E-5</v>
      </c>
      <c r="E19" s="18">
        <f>Input!$B$1*D19</f>
        <v>1.2420251745739295E-4</v>
      </c>
      <c r="F19" s="16">
        <f>1-C19*EXP(-(A19*Input!$B$3-Input!$B$1)*Input!$B$5)</f>
        <v>0.99999999996514122</v>
      </c>
      <c r="G19" s="15" t="str">
        <f>IF(F19&gt;=Input!$B$6,"ĐẠT","KHÔNG")</f>
        <v>ĐẠT</v>
      </c>
    </row>
    <row r="20" spans="1:7" ht="16.8" x14ac:dyDescent="0.4">
      <c r="A20" s="15">
        <f t="shared" si="0"/>
        <v>15</v>
      </c>
      <c r="B20" s="16">
        <f>Input!$B$4/A20</f>
        <v>0.3</v>
      </c>
      <c r="C20" s="17">
        <f>(POISSON(A20,Input!$B$4,FALSE)/(1-B20))/((POISSON(A20,Input!$B$4,FALSE)/(1-B20))+POISSON(A20-1,Input!$B$4,TRUE))</f>
        <v>7.6254198467225407E-5</v>
      </c>
      <c r="D20" s="18">
        <f>C20/(A20*Input!$B$3-Input!$B$1)</f>
        <v>2.1786913847778687E-5</v>
      </c>
      <c r="E20" s="18">
        <f>Input!$B$1*D20</f>
        <v>3.2680370771668033E-5</v>
      </c>
      <c r="F20" s="16">
        <f>1-C20*EXP(-(A20*Input!$B$3-Input!$B$1)*Input!$B$5)</f>
        <v>0.99999999999808531</v>
      </c>
      <c r="G20" s="15" t="str">
        <f>IF(F20&gt;=Input!$B$6,"ĐẠT","KHÔNG")</f>
        <v>ĐẠT</v>
      </c>
    </row>
    <row r="21" spans="1:7" ht="16.8" x14ac:dyDescent="0.4">
      <c r="A21" s="15">
        <f t="shared" si="0"/>
        <v>16</v>
      </c>
      <c r="B21" s="16">
        <f>Input!$B$4/A21</f>
        <v>0.28125</v>
      </c>
      <c r="C21" s="17">
        <f>(POISSON(A21,Input!$B$4,FALSE)/(1-B21))/((POISSON(A21,Input!$B$4,FALSE)/(1-B21))+POISSON(A21-1,Input!$B$4,TRUE))</f>
        <v>2.0887061129529747E-5</v>
      </c>
      <c r="D21" s="18">
        <f>C21/(A21*Input!$B$3-Input!$B$1)</f>
        <v>5.4487985555295E-6</v>
      </c>
      <c r="E21" s="18">
        <f>Input!$B$1*D21</f>
        <v>8.1731978332942491E-6</v>
      </c>
      <c r="F21" s="16">
        <f>1-C21*EXP(-(A21*Input!$B$3-Input!$B$1)*Input!$B$5)</f>
        <v>0.99999999999990097</v>
      </c>
      <c r="G21" s="15" t="str">
        <f>IF(F21&gt;=Input!$B$6,"ĐẠT","KHÔNG")</f>
        <v>ĐẠT</v>
      </c>
    </row>
    <row r="22" spans="1:7" ht="16.8" x14ac:dyDescent="0.4">
      <c r="A22" s="15">
        <f t="shared" si="0"/>
        <v>17</v>
      </c>
      <c r="B22" s="16">
        <f>Input!$B$4/A22</f>
        <v>0.26470588235294118</v>
      </c>
      <c r="C22" s="17">
        <f>(POISSON(A22,Input!$B$4,FALSE)/(1-B22))/((POISSON(A22,Input!$B$4,FALSE)/(1-B22))+POISSON(A22-1,Input!$B$4,TRUE))</f>
        <v>5.4045296071724813E-6</v>
      </c>
      <c r="D22" s="18">
        <f>C22/(A22*Input!$B$3-Input!$B$1)</f>
        <v>1.2970871057213957E-6</v>
      </c>
      <c r="E22" s="18">
        <f>Input!$B$1*D22</f>
        <v>1.9456306585820934E-6</v>
      </c>
      <c r="F22" s="16">
        <f>1-C22*EXP(-(A22*Input!$B$3-Input!$B$1)*Input!$B$5)</f>
        <v>0.99999999999999512</v>
      </c>
      <c r="G22" s="15" t="str">
        <f>IF(F22&gt;=Input!$B$6,"ĐẠT","KHÔNG")</f>
        <v>ĐẠT</v>
      </c>
    </row>
    <row r="23" spans="1:7" ht="16.8" x14ac:dyDescent="0.4">
      <c r="A23" s="15">
        <f t="shared" si="0"/>
        <v>18</v>
      </c>
      <c r="B23" s="16">
        <f>Input!$B$4/A23</f>
        <v>0.25</v>
      </c>
      <c r="C23" s="17">
        <f>(POISSON(A23,Input!$B$4,FALSE)/(1-B23))/((POISSON(A23,Input!$B$4,FALSE)/(1-B23))+POISSON(A23-1,Input!$B$4,TRUE))</f>
        <v>1.3246397499747192E-6</v>
      </c>
      <c r="D23" s="18">
        <f>C23/(A23*Input!$B$3-Input!$B$1)</f>
        <v>2.9436438888327095E-7</v>
      </c>
      <c r="E23" s="18">
        <f>Input!$B$1*D23</f>
        <v>4.4154658332490641E-7</v>
      </c>
      <c r="F23" s="16">
        <f>1-C23*EXP(-(A23*Input!$B$3-Input!$B$1)*Input!$B$5)</f>
        <v>0.99999999999999978</v>
      </c>
      <c r="G23" s="15" t="str">
        <f>IF(F23&gt;=Input!$B$6,"ĐẠT","KHÔNG")</f>
        <v>ĐẠT</v>
      </c>
    </row>
    <row r="24" spans="1:7" ht="16.8" x14ac:dyDescent="0.4">
      <c r="A24" s="15">
        <f t="shared" si="0"/>
        <v>19</v>
      </c>
      <c r="B24" s="16">
        <f>Input!$B$4/A24</f>
        <v>0.23684210526315788</v>
      </c>
      <c r="C24" s="17">
        <f>(POISSON(A24,Input!$B$4,FALSE)/(1-B24))/((POISSON(A24,Input!$B$4,FALSE)/(1-B24))+POISSON(A24-1,Input!$B$4,TRUE))</f>
        <v>3.0832132815643819E-7</v>
      </c>
      <c r="D24" s="18">
        <f>C24/(A24*Input!$B$3-Input!$B$1)</f>
        <v>6.3790619618573417E-8</v>
      </c>
      <c r="E24" s="18">
        <f>Input!$B$1*D24</f>
        <v>9.5685929427860119E-8</v>
      </c>
      <c r="F24" s="16">
        <f>1-C24*EXP(-(A24*Input!$B$3-Input!$B$1)*Input!$B$5)</f>
        <v>1</v>
      </c>
      <c r="G24" s="15" t="str">
        <f>IF(F24&gt;=Input!$B$6,"ĐẠT","KHÔNG")</f>
        <v>ĐẠT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4"/>
  <sheetViews>
    <sheetView workbookViewId="0"/>
  </sheetViews>
  <sheetFormatPr defaultRowHeight="14.4" x14ac:dyDescent="0.3"/>
  <cols>
    <col min="1" max="1" width="56" customWidth="1"/>
    <col min="2" max="5" width="30" customWidth="1"/>
  </cols>
  <sheetData>
    <row r="1" spans="1:5" ht="19.8" x14ac:dyDescent="0.45">
      <c r="A1" s="8" t="s">
        <v>28</v>
      </c>
    </row>
    <row r="3" spans="1:5" ht="16.8" x14ac:dyDescent="0.3">
      <c r="A3" s="14" t="s">
        <v>0</v>
      </c>
      <c r="B3" s="19" t="s">
        <v>29</v>
      </c>
      <c r="C3" s="19" t="s">
        <v>30</v>
      </c>
      <c r="D3" s="19" t="s">
        <v>31</v>
      </c>
      <c r="E3" s="19" t="s">
        <v>32</v>
      </c>
    </row>
    <row r="4" spans="1:5" ht="16.8" x14ac:dyDescent="0.4">
      <c r="A4" s="20">
        <v>0.5</v>
      </c>
      <c r="B4" s="21">
        <v>2</v>
      </c>
      <c r="C4" s="21">
        <v>3</v>
      </c>
      <c r="D4" s="21">
        <v>4</v>
      </c>
      <c r="E4" s="21">
        <v>4</v>
      </c>
    </row>
    <row r="5" spans="1:5" ht="16.8" x14ac:dyDescent="0.4">
      <c r="A5" s="20">
        <v>0.75</v>
      </c>
      <c r="B5" s="21">
        <v>3</v>
      </c>
      <c r="C5" s="21">
        <v>4</v>
      </c>
      <c r="D5" s="21">
        <v>5</v>
      </c>
      <c r="E5" s="21">
        <v>6</v>
      </c>
    </row>
    <row r="6" spans="1:5" ht="16.8" x14ac:dyDescent="0.4">
      <c r="A6" s="20">
        <v>1</v>
      </c>
      <c r="B6" s="21">
        <v>3</v>
      </c>
      <c r="C6" s="21">
        <v>4</v>
      </c>
      <c r="D6" s="21">
        <v>6</v>
      </c>
      <c r="E6" s="21">
        <v>7</v>
      </c>
    </row>
    <row r="7" spans="1:5" ht="16.8" x14ac:dyDescent="0.4">
      <c r="A7" s="20">
        <v>1.25</v>
      </c>
      <c r="B7" s="21">
        <v>4</v>
      </c>
      <c r="C7" s="21">
        <v>5</v>
      </c>
      <c r="D7" s="21">
        <v>7</v>
      </c>
      <c r="E7" s="21">
        <v>8</v>
      </c>
    </row>
    <row r="8" spans="1:5" ht="16.8" x14ac:dyDescent="0.4">
      <c r="A8" s="20">
        <v>1.5</v>
      </c>
      <c r="B8" s="21">
        <v>4</v>
      </c>
      <c r="C8" s="22">
        <v>6</v>
      </c>
      <c r="D8" s="21">
        <v>8</v>
      </c>
      <c r="E8" s="21">
        <v>10</v>
      </c>
    </row>
    <row r="9" spans="1:5" ht="16.8" x14ac:dyDescent="0.4">
      <c r="A9" s="20">
        <v>1.75</v>
      </c>
      <c r="B9" s="21">
        <v>5</v>
      </c>
      <c r="C9" s="21">
        <v>7</v>
      </c>
      <c r="D9" s="21">
        <v>9</v>
      </c>
      <c r="E9" s="21">
        <v>11</v>
      </c>
    </row>
    <row r="10" spans="1:5" ht="16.8" x14ac:dyDescent="0.4">
      <c r="A10" s="20">
        <v>2</v>
      </c>
      <c r="B10" s="21">
        <v>5</v>
      </c>
      <c r="C10" s="21">
        <v>8</v>
      </c>
      <c r="D10" s="21">
        <v>10</v>
      </c>
      <c r="E10" s="21">
        <v>12</v>
      </c>
    </row>
    <row r="11" spans="1:5" ht="16.8" x14ac:dyDescent="0.4">
      <c r="A11" s="20">
        <v>2.25</v>
      </c>
      <c r="B11" s="21">
        <v>6</v>
      </c>
      <c r="C11" s="21">
        <v>8</v>
      </c>
      <c r="D11" s="21">
        <v>11</v>
      </c>
      <c r="E11" s="21">
        <v>13</v>
      </c>
    </row>
    <row r="12" spans="1:5" ht="16.8" x14ac:dyDescent="0.4">
      <c r="A12" s="20">
        <v>2.5</v>
      </c>
      <c r="B12" s="21">
        <v>6</v>
      </c>
      <c r="C12" s="21">
        <v>9</v>
      </c>
      <c r="D12" s="21">
        <v>12</v>
      </c>
      <c r="E12" s="21">
        <v>15</v>
      </c>
    </row>
    <row r="13" spans="1:5" ht="16.8" x14ac:dyDescent="0.4">
      <c r="A13" s="20">
        <v>2.75</v>
      </c>
      <c r="B13" s="21">
        <v>7</v>
      </c>
      <c r="C13" s="21">
        <v>10</v>
      </c>
      <c r="D13" s="21">
        <v>13</v>
      </c>
      <c r="E13" s="21">
        <v>16</v>
      </c>
    </row>
    <row r="14" spans="1:5" ht="16.8" x14ac:dyDescent="0.4">
      <c r="A14" s="20">
        <v>3</v>
      </c>
      <c r="B14" s="21">
        <v>7</v>
      </c>
      <c r="C14" s="21">
        <v>11</v>
      </c>
      <c r="D14" s="21">
        <v>14</v>
      </c>
      <c r="E14" s="21">
        <v>17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4"/>
  <sheetViews>
    <sheetView workbookViewId="0"/>
  </sheetViews>
  <sheetFormatPr defaultRowHeight="14.4" x14ac:dyDescent="0.3"/>
  <cols>
    <col min="1" max="1" width="52" customWidth="1"/>
    <col min="2" max="3" width="22" customWidth="1"/>
    <col min="4" max="4" width="26" customWidth="1"/>
    <col min="5" max="5" width="22" customWidth="1"/>
    <col min="6" max="6" width="31" customWidth="1"/>
  </cols>
  <sheetData>
    <row r="1" spans="1:6" ht="19.8" x14ac:dyDescent="0.45">
      <c r="A1" s="8" t="s">
        <v>33</v>
      </c>
    </row>
    <row r="2" spans="1:6" ht="16.8" x14ac:dyDescent="0.4">
      <c r="A2" s="9" t="s">
        <v>34</v>
      </c>
    </row>
    <row r="4" spans="1:6" ht="16.8" x14ac:dyDescent="0.3">
      <c r="A4" s="14" t="s">
        <v>21</v>
      </c>
      <c r="B4" s="14" t="s">
        <v>35</v>
      </c>
      <c r="C4" s="14" t="s">
        <v>36</v>
      </c>
      <c r="D4" s="14" t="s">
        <v>37</v>
      </c>
      <c r="E4" s="14" t="s">
        <v>38</v>
      </c>
      <c r="F4" s="14" t="s">
        <v>39</v>
      </c>
    </row>
    <row r="5" spans="1:6" ht="16.8" x14ac:dyDescent="0.4">
      <c r="A5" s="15">
        <v>5</v>
      </c>
      <c r="B5" s="18">
        <f>ErlangC!D10</f>
        <v>4.5749593243976188</v>
      </c>
      <c r="C5" s="18">
        <f t="shared" ref="C5:C14" si="0">(1 + 0.5)/2 * B5</f>
        <v>3.4312194932982143</v>
      </c>
      <c r="D5" s="18">
        <f t="shared" ref="D5:D14" si="1">(1 + 1.2)/2 * B5</f>
        <v>5.0324552568373813</v>
      </c>
      <c r="E5" s="18">
        <f t="shared" ref="E5:E14" si="2">(1 + 1.5)/2 * B5</f>
        <v>5.7186991554970232</v>
      </c>
      <c r="F5" s="23">
        <f t="shared" ref="F5:F14" si="3">(D5 - B5)/B5</f>
        <v>0.10000000000000013</v>
      </c>
    </row>
    <row r="6" spans="1:6" ht="16.8" x14ac:dyDescent="0.4">
      <c r="A6" s="15">
        <v>6</v>
      </c>
      <c r="B6" s="18">
        <f>ErlangC!D11</f>
        <v>0.84330415161165961</v>
      </c>
      <c r="C6" s="18">
        <f t="shared" si="0"/>
        <v>0.63247811370874474</v>
      </c>
      <c r="D6" s="18">
        <f t="shared" si="1"/>
        <v>0.92763456677282563</v>
      </c>
      <c r="E6" s="18">
        <f t="shared" si="2"/>
        <v>1.0541301895145745</v>
      </c>
      <c r="F6" s="23">
        <f t="shared" si="3"/>
        <v>0.10000000000000006</v>
      </c>
    </row>
    <row r="7" spans="1:6" ht="16.8" x14ac:dyDescent="0.4">
      <c r="A7" s="15">
        <v>7</v>
      </c>
      <c r="B7" s="18">
        <f>ErlangC!D12</f>
        <v>0.26066511727145142</v>
      </c>
      <c r="C7" s="18">
        <f t="shared" si="0"/>
        <v>0.19549883795358858</v>
      </c>
      <c r="D7" s="18">
        <f t="shared" si="1"/>
        <v>0.28673162899859661</v>
      </c>
      <c r="E7" s="18">
        <f t="shared" si="2"/>
        <v>0.32583139658931426</v>
      </c>
      <c r="F7" s="23">
        <f t="shared" si="3"/>
        <v>0.10000000000000019</v>
      </c>
    </row>
    <row r="8" spans="1:6" ht="16.8" x14ac:dyDescent="0.4">
      <c r="A8" s="15">
        <v>8</v>
      </c>
      <c r="B8" s="18">
        <f>ErlangC!D13</f>
        <v>8.904792812228568E-2</v>
      </c>
      <c r="C8" s="18">
        <f t="shared" si="0"/>
        <v>6.678594609171426E-2</v>
      </c>
      <c r="D8" s="18">
        <f t="shared" si="1"/>
        <v>9.7952720934514251E-2</v>
      </c>
      <c r="E8" s="18">
        <f t="shared" si="2"/>
        <v>0.1113099101528571</v>
      </c>
      <c r="F8" s="23">
        <f t="shared" si="3"/>
        <v>0.10000000000000003</v>
      </c>
    </row>
    <row r="9" spans="1:6" ht="16.8" x14ac:dyDescent="0.4">
      <c r="A9" s="15">
        <v>9</v>
      </c>
      <c r="B9" s="18">
        <f>ErlangC!D14</f>
        <v>3.0699702225079162E-2</v>
      </c>
      <c r="C9" s="18">
        <f t="shared" si="0"/>
        <v>2.3024776668809373E-2</v>
      </c>
      <c r="D9" s="18">
        <f t="shared" si="1"/>
        <v>3.3769672447587079E-2</v>
      </c>
      <c r="E9" s="18">
        <f t="shared" si="2"/>
        <v>3.8374627781348952E-2</v>
      </c>
      <c r="F9" s="23">
        <f t="shared" si="3"/>
        <v>0.1</v>
      </c>
    </row>
    <row r="10" spans="1:6" ht="16.8" x14ac:dyDescent="0.4">
      <c r="A10" s="15">
        <v>10</v>
      </c>
      <c r="B10" s="18">
        <f>ErlangC!D15</f>
        <v>1.0318717651597597E-2</v>
      </c>
      <c r="C10" s="18">
        <f t="shared" si="0"/>
        <v>7.7390382386981977E-3</v>
      </c>
      <c r="D10" s="18">
        <f t="shared" si="1"/>
        <v>1.1350589416757357E-2</v>
      </c>
      <c r="E10" s="18">
        <f t="shared" si="2"/>
        <v>1.2898397064496997E-2</v>
      </c>
      <c r="F10" s="23">
        <f t="shared" si="3"/>
        <v>0.10000000000000006</v>
      </c>
    </row>
    <row r="11" spans="1:6" ht="16.8" x14ac:dyDescent="0.4">
      <c r="A11" s="15">
        <v>11</v>
      </c>
      <c r="B11" s="18">
        <f>ErlangC!D16</f>
        <v>3.3289407823061299E-3</v>
      </c>
      <c r="C11" s="18">
        <f t="shared" si="0"/>
        <v>2.4967055867295973E-3</v>
      </c>
      <c r="D11" s="18">
        <f t="shared" si="1"/>
        <v>3.6618348605367431E-3</v>
      </c>
      <c r="E11" s="18">
        <f t="shared" si="2"/>
        <v>4.1611759778826625E-3</v>
      </c>
      <c r="F11" s="23">
        <f t="shared" si="3"/>
        <v>0.10000000000000006</v>
      </c>
    </row>
    <row r="12" spans="1:6" ht="16.8" x14ac:dyDescent="0.4">
      <c r="A12" s="15">
        <v>12</v>
      </c>
      <c r="B12" s="18">
        <f>ErlangC!D17</f>
        <v>1.023295298225502E-3</v>
      </c>
      <c r="C12" s="18">
        <f t="shared" si="0"/>
        <v>7.6747147366912653E-4</v>
      </c>
      <c r="D12" s="18">
        <f t="shared" si="1"/>
        <v>1.1256248280480524E-3</v>
      </c>
      <c r="E12" s="18">
        <f t="shared" si="2"/>
        <v>1.2791191227818775E-3</v>
      </c>
      <c r="F12" s="23">
        <f t="shared" si="3"/>
        <v>0.10000000000000017</v>
      </c>
    </row>
    <row r="13" spans="1:6" ht="16.8" x14ac:dyDescent="0.4">
      <c r="A13" s="15">
        <v>13</v>
      </c>
      <c r="B13" s="18">
        <f>ErlangC!D18</f>
        <v>2.9878991895917719E-4</v>
      </c>
      <c r="C13" s="18">
        <f t="shared" si="0"/>
        <v>2.2409243921938288E-4</v>
      </c>
      <c r="D13" s="18">
        <f t="shared" si="1"/>
        <v>3.2866891085509491E-4</v>
      </c>
      <c r="E13" s="18">
        <f t="shared" si="2"/>
        <v>3.734873986989715E-4</v>
      </c>
      <c r="F13" s="23">
        <f t="shared" si="3"/>
        <v>0.10000000000000002</v>
      </c>
    </row>
    <row r="14" spans="1:6" ht="16.8" x14ac:dyDescent="0.4">
      <c r="A14" s="15">
        <v>14</v>
      </c>
      <c r="B14" s="18">
        <f>ErlangC!D19</f>
        <v>8.2801678304928632E-5</v>
      </c>
      <c r="C14" s="18">
        <f t="shared" si="0"/>
        <v>6.2101258728696474E-5</v>
      </c>
      <c r="D14" s="18">
        <f t="shared" si="1"/>
        <v>9.1081846135421498E-5</v>
      </c>
      <c r="E14" s="18">
        <f t="shared" si="2"/>
        <v>1.0350209788116079E-4</v>
      </c>
      <c r="F14" s="23">
        <f t="shared" si="3"/>
        <v>0.10000000000000003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14"/>
  <sheetViews>
    <sheetView workbookViewId="0"/>
  </sheetViews>
  <sheetFormatPr defaultRowHeight="14.4" x14ac:dyDescent="0.3"/>
  <cols>
    <col min="1" max="1" width="78" customWidth="1"/>
    <col min="2" max="2" width="18" customWidth="1"/>
    <col min="3" max="3" width="15" customWidth="1"/>
    <col min="4" max="4" width="12" customWidth="1"/>
    <col min="5" max="5" width="18" customWidth="1"/>
    <col min="6" max="6" width="24" customWidth="1"/>
    <col min="7" max="7" width="20" customWidth="1"/>
    <col min="8" max="8" width="22" customWidth="1"/>
    <col min="9" max="9" width="12" customWidth="1"/>
  </cols>
  <sheetData>
    <row r="1" spans="1:9" ht="19.8" x14ac:dyDescent="0.45">
      <c r="A1" s="8" t="s">
        <v>40</v>
      </c>
    </row>
    <row r="2" spans="1:9" ht="16.8" x14ac:dyDescent="0.4">
      <c r="A2" s="9" t="s">
        <v>41</v>
      </c>
    </row>
    <row r="4" spans="1:9" ht="16.8" x14ac:dyDescent="0.3">
      <c r="A4" s="14" t="s">
        <v>42</v>
      </c>
      <c r="B4" s="14" t="s">
        <v>0</v>
      </c>
      <c r="C4" s="14" t="s">
        <v>3</v>
      </c>
      <c r="D4" s="14" t="s">
        <v>43</v>
      </c>
      <c r="E4" s="14" t="s">
        <v>44</v>
      </c>
      <c r="F4" s="14" t="s">
        <v>45</v>
      </c>
      <c r="G4" s="14" t="s">
        <v>46</v>
      </c>
      <c r="H4" s="14" t="s">
        <v>47</v>
      </c>
      <c r="I4" s="14" t="s">
        <v>48</v>
      </c>
    </row>
    <row r="5" spans="1:9" ht="16.8" x14ac:dyDescent="0.4">
      <c r="A5" s="15" t="s">
        <v>49</v>
      </c>
      <c r="B5" s="17">
        <v>1.0189999999999999</v>
      </c>
      <c r="C5" s="18">
        <v>2.88</v>
      </c>
      <c r="D5" s="18">
        <v>1.2</v>
      </c>
      <c r="E5" s="18">
        <f t="shared" ref="E5:E13" si="0">B5*C5</f>
        <v>2.9347199999999996</v>
      </c>
      <c r="F5" s="24">
        <v>4</v>
      </c>
      <c r="G5" s="16">
        <f t="shared" ref="G5:G13" si="1">E5/F5</f>
        <v>0.73367999999999989</v>
      </c>
      <c r="H5" s="16">
        <v>0.92449999999999999</v>
      </c>
      <c r="I5" s="15" t="s">
        <v>50</v>
      </c>
    </row>
    <row r="6" spans="1:9" ht="16.8" x14ac:dyDescent="0.4">
      <c r="A6" s="15" t="s">
        <v>51</v>
      </c>
      <c r="B6" s="17">
        <v>1.4333</v>
      </c>
      <c r="C6" s="18">
        <v>2.88</v>
      </c>
      <c r="D6" s="18">
        <v>1.2</v>
      </c>
      <c r="E6" s="18">
        <f t="shared" si="0"/>
        <v>4.127904</v>
      </c>
      <c r="F6" s="24">
        <v>6</v>
      </c>
      <c r="G6" s="16">
        <f t="shared" si="1"/>
        <v>0.68798400000000004</v>
      </c>
      <c r="H6" s="16">
        <v>0.98780000000000001</v>
      </c>
      <c r="I6" s="15" t="s">
        <v>50</v>
      </c>
    </row>
    <row r="7" spans="1:9" ht="16.8" x14ac:dyDescent="0.4">
      <c r="A7" s="15" t="s">
        <v>52</v>
      </c>
      <c r="B7" s="17">
        <v>1.6439999999999999</v>
      </c>
      <c r="C7" s="18">
        <v>2.88</v>
      </c>
      <c r="D7" s="18">
        <v>1.2</v>
      </c>
      <c r="E7" s="18">
        <f t="shared" si="0"/>
        <v>4.7347199999999994</v>
      </c>
      <c r="F7" s="24">
        <v>6</v>
      </c>
      <c r="G7" s="16">
        <f t="shared" si="1"/>
        <v>0.78911999999999993</v>
      </c>
      <c r="H7" s="16">
        <v>0.94530000000000003</v>
      </c>
      <c r="I7" s="15" t="s">
        <v>50</v>
      </c>
    </row>
    <row r="8" spans="1:9" ht="16.8" x14ac:dyDescent="0.4">
      <c r="A8" s="15" t="s">
        <v>53</v>
      </c>
      <c r="B8" s="17">
        <v>1.4393</v>
      </c>
      <c r="C8" s="18">
        <v>2.88</v>
      </c>
      <c r="D8" s="18">
        <v>1.2</v>
      </c>
      <c r="E8" s="18">
        <f t="shared" si="0"/>
        <v>4.1451839999999995</v>
      </c>
      <c r="F8" s="24">
        <v>6</v>
      </c>
      <c r="G8" s="16">
        <f t="shared" si="1"/>
        <v>0.69086399999999992</v>
      </c>
      <c r="H8" s="16">
        <v>0.98729999999999996</v>
      </c>
      <c r="I8" s="15" t="s">
        <v>50</v>
      </c>
    </row>
    <row r="9" spans="1:9" ht="16.8" x14ac:dyDescent="0.4">
      <c r="A9" s="15" t="s">
        <v>54</v>
      </c>
      <c r="B9" s="17">
        <v>1.2393000000000001</v>
      </c>
      <c r="C9" s="18">
        <v>2.88</v>
      </c>
      <c r="D9" s="18">
        <v>1.2</v>
      </c>
      <c r="E9" s="18">
        <f t="shared" si="0"/>
        <v>3.5691839999999999</v>
      </c>
      <c r="F9" s="24">
        <v>5</v>
      </c>
      <c r="G9" s="16">
        <f t="shared" si="1"/>
        <v>0.71383679999999994</v>
      </c>
      <c r="H9" s="16">
        <v>0.96679999999999999</v>
      </c>
      <c r="I9" s="15" t="s">
        <v>50</v>
      </c>
    </row>
    <row r="10" spans="1:9" ht="16.8" x14ac:dyDescent="0.4">
      <c r="A10" s="15" t="s">
        <v>55</v>
      </c>
      <c r="B10" s="17">
        <v>1.2428999999999999</v>
      </c>
      <c r="C10" s="18">
        <v>2.88</v>
      </c>
      <c r="D10" s="18">
        <v>1.2</v>
      </c>
      <c r="E10" s="18">
        <f t="shared" si="0"/>
        <v>3.5795519999999996</v>
      </c>
      <c r="F10" s="24">
        <v>5</v>
      </c>
      <c r="G10" s="16">
        <f t="shared" si="1"/>
        <v>0.71591039999999995</v>
      </c>
      <c r="H10" s="16">
        <v>0.96589999999999998</v>
      </c>
      <c r="I10" s="15" t="s">
        <v>50</v>
      </c>
    </row>
    <row r="11" spans="1:9" ht="16.8" x14ac:dyDescent="0.4">
      <c r="A11" s="15" t="s">
        <v>56</v>
      </c>
      <c r="B11" s="17">
        <v>1.3213999999999999</v>
      </c>
      <c r="C11" s="18">
        <v>2.88</v>
      </c>
      <c r="D11" s="18">
        <v>1.2</v>
      </c>
      <c r="E11" s="18">
        <f t="shared" si="0"/>
        <v>3.8056319999999997</v>
      </c>
      <c r="F11" s="24">
        <v>5</v>
      </c>
      <c r="G11" s="16">
        <f t="shared" si="1"/>
        <v>0.76112639999999998</v>
      </c>
      <c r="H11" s="16">
        <v>0.93979999999999997</v>
      </c>
      <c r="I11" s="15" t="s">
        <v>50</v>
      </c>
    </row>
    <row r="12" spans="1:9" ht="16.8" x14ac:dyDescent="0.4">
      <c r="A12" s="15" t="s">
        <v>57</v>
      </c>
      <c r="B12" s="17">
        <v>1.3048</v>
      </c>
      <c r="C12" s="18">
        <v>2.88</v>
      </c>
      <c r="D12" s="18">
        <v>1.2</v>
      </c>
      <c r="E12" s="18">
        <f t="shared" si="0"/>
        <v>3.7578239999999998</v>
      </c>
      <c r="F12" s="24">
        <v>5</v>
      </c>
      <c r="G12" s="16">
        <f t="shared" si="1"/>
        <v>0.75156479999999992</v>
      </c>
      <c r="H12" s="16">
        <v>0.9466</v>
      </c>
      <c r="I12" s="15" t="s">
        <v>50</v>
      </c>
    </row>
    <row r="13" spans="1:9" ht="16.8" x14ac:dyDescent="0.4">
      <c r="A13" s="15" t="s">
        <v>58</v>
      </c>
      <c r="B13" s="17">
        <v>1.0654999999999999</v>
      </c>
      <c r="C13" s="18">
        <v>2.88</v>
      </c>
      <c r="D13" s="18">
        <v>1.2</v>
      </c>
      <c r="E13" s="18">
        <f t="shared" si="0"/>
        <v>3.0686399999999994</v>
      </c>
      <c r="F13" s="24">
        <v>5</v>
      </c>
      <c r="G13" s="16">
        <f t="shared" si="1"/>
        <v>0.61372799999999983</v>
      </c>
      <c r="H13" s="16">
        <v>0.99119999999999997</v>
      </c>
      <c r="I13" s="15" t="s">
        <v>50</v>
      </c>
    </row>
    <row r="14" spans="1:9" ht="19.2" x14ac:dyDescent="0.45">
      <c r="A14" s="25" t="s">
        <v>59</v>
      </c>
      <c r="F14" s="26">
        <f>SUM(F5:F13)</f>
        <v>47</v>
      </c>
      <c r="G14" s="27">
        <f>AVERAGE(G5:G13)</f>
        <v>0.7175349333333334</v>
      </c>
      <c r="H14" s="27">
        <f>AVERAGE(H5:H13)</f>
        <v>0.96168888888888882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5</vt:i4>
      </vt:variant>
    </vt:vector>
  </HeadingPairs>
  <TitlesOfParts>
    <vt:vector size="5" baseType="lpstr">
      <vt:lpstr>Input</vt:lpstr>
      <vt:lpstr>ErlangC</vt:lpstr>
      <vt:lpstr>Tra_c</vt:lpstr>
      <vt:lpstr>Allen_Cunneen</vt:lpstr>
      <vt:lpstr>Quyet_dinh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Lương Thành Vinh 23020175</cp:lastModifiedBy>
  <dcterms:created xsi:type="dcterms:W3CDTF">2026-10-21T10:23:53Z</dcterms:created>
  <dcterms:modified xsi:type="dcterms:W3CDTF">2026-10-21T10:24:04Z</dcterms:modified>
</cp:coreProperties>
</file>